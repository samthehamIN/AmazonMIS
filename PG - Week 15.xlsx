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kant\Documents\"/>
    </mc:Choice>
  </mc:AlternateContent>
  <xr:revisionPtr revIDLastSave="0" documentId="8_{B03F6BF6-87F1-4303-A3CC-898821DA2DBA}" xr6:coauthVersionLast="47" xr6:coauthVersionMax="47" xr10:uidLastSave="{00000000-0000-0000-0000-000000000000}"/>
  <bookViews>
    <workbookView xWindow="-110" yWindow="-110" windowWidth="19420" windowHeight="10300" xr2:uid="{C9C8C500-4B91-4A0F-A92B-45F786C196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<sst xmlns="http://schemas.openxmlformats.org/spreadsheetml/2006/main" count="90" uniqueCount="86">
  <si>
    <t>Sr. No</t>
  </si>
  <si>
    <t>Metrics</t>
  </si>
  <si>
    <t>Trend</t>
  </si>
  <si>
    <t>GMS</t>
  </si>
  <si>
    <t>New Buyable GMS</t>
  </si>
  <si>
    <t>New Buyable FBA GMS</t>
  </si>
  <si>
    <t>OPS</t>
  </si>
  <si>
    <t>OPS to GMS conversion</t>
  </si>
  <si>
    <t>ASP</t>
  </si>
  <si>
    <t>Buyable offers</t>
  </si>
  <si>
    <t>New Buyable offers</t>
  </si>
  <si>
    <t>New Buyable FBA offers</t>
  </si>
  <si>
    <t>FC offers</t>
  </si>
  <si>
    <t>FTAC offers</t>
  </si>
  <si>
    <t>Flex offers</t>
  </si>
  <si>
    <t>FBA offers</t>
  </si>
  <si>
    <t>AWAS</t>
  </si>
  <si>
    <t>FC FTAC</t>
  </si>
  <si>
    <t>Flex FTAC</t>
  </si>
  <si>
    <t>FBA BB GV</t>
  </si>
  <si>
    <t>FC BB GV</t>
  </si>
  <si>
    <t>BB GV</t>
  </si>
  <si>
    <t>FBA BB GV%</t>
  </si>
  <si>
    <t>FC BB GV%</t>
  </si>
  <si>
    <t>Conversion %</t>
  </si>
  <si>
    <t>Comp GV</t>
  </si>
  <si>
    <t>Total GV</t>
  </si>
  <si>
    <t>ICPC%</t>
  </si>
  <si>
    <t>RIS Units</t>
  </si>
  <si>
    <t>Total Units</t>
  </si>
  <si>
    <t>RIS%</t>
  </si>
  <si>
    <t>IXD IB</t>
  </si>
  <si>
    <t>FC IB</t>
  </si>
  <si>
    <t>IXD IB%</t>
  </si>
  <si>
    <t>BxGy Eligible Units</t>
  </si>
  <si>
    <t>BxGy Promo Units</t>
  </si>
  <si>
    <t>BxGy Units coverage</t>
  </si>
  <si>
    <t>BxGy Units share</t>
  </si>
  <si>
    <t>Deal OPS</t>
  </si>
  <si>
    <t>Coupon OPS</t>
  </si>
  <si>
    <t>Deal OPS%</t>
  </si>
  <si>
    <t>Coupon OPS%</t>
  </si>
  <si>
    <t>FC units</t>
  </si>
  <si>
    <t>FBA units</t>
  </si>
  <si>
    <t>Total units</t>
  </si>
  <si>
    <t>FC units%</t>
  </si>
  <si>
    <t>FBA units%</t>
  </si>
  <si>
    <t>Buyable offers T7D</t>
  </si>
  <si>
    <t>FC offers T7D</t>
  </si>
  <si>
    <t>FTAC offers T7D</t>
  </si>
  <si>
    <t>Flex offers T7D</t>
  </si>
  <si>
    <t>FBA offers T7D</t>
  </si>
  <si>
    <t>AWAS T7D</t>
  </si>
  <si>
    <t>SCR</t>
  </si>
  <si>
    <t>QD GV</t>
  </si>
  <si>
    <t>QD GV%</t>
  </si>
  <si>
    <t>NCEMI GV</t>
  </si>
  <si>
    <t>NCEMI%</t>
  </si>
  <si>
    <t>Clicks</t>
  </si>
  <si>
    <t>Ad spend</t>
  </si>
  <si>
    <t>Attributed sales</t>
  </si>
  <si>
    <t>ACOS</t>
  </si>
  <si>
    <t>SP Spend%</t>
  </si>
  <si>
    <t>HT OPS</t>
  </si>
  <si>
    <t>MFN HIT OPS</t>
  </si>
  <si>
    <t>FC OOS GV</t>
  </si>
  <si>
    <t>EF OOS GV</t>
  </si>
  <si>
    <t>Overall OOS GV</t>
  </si>
  <si>
    <t>Overall Instock GV</t>
  </si>
  <si>
    <t>FC OOS GV%</t>
  </si>
  <si>
    <t>EF OOS GV%</t>
  </si>
  <si>
    <t>Overall OOS GV%</t>
  </si>
  <si>
    <t>Base week</t>
  </si>
  <si>
    <t>Wk-12</t>
  </si>
  <si>
    <t>Wk-13</t>
  </si>
  <si>
    <t>Wk-14</t>
  </si>
  <si>
    <t>Wk-15</t>
  </si>
  <si>
    <t>WoW</t>
  </si>
  <si>
    <t>Wk-15'25</t>
  </si>
  <si>
    <t>Jan</t>
  </si>
  <si>
    <t>Feb</t>
  </si>
  <si>
    <t>March</t>
  </si>
  <si>
    <t>MTD</t>
  </si>
  <si>
    <t>Q2'26</t>
  </si>
  <si>
    <t>Q2'25</t>
  </si>
  <si>
    <t>YoY (Qtrly)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</si>
</sst>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&quot; bps&quot;_);\(#,##0&quot; bps&quot;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  <bgColor rgb="FF000000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/>
      <bottom style="thin">
        <color rgb="FFFFC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3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3" xfId="0" applyFont="1" applyBorder="1"/>
    <xf numFmtId="0" fontId="3" fillId="2" borderId="3" xfId="0" applyFont="1" applyFill="1" applyBorder="1"/>
    <xf numFmtId="164" fontId="3" fillId="0" borderId="3" xfId="1" applyNumberFormat="1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6" xfId="0" applyNumberFormat="1" applyFont="1" applyBorder="1" applyAlignment="1">
      <alignment horizontal="right"/>
    </xf>
    <xf numFmtId="10" fontId="3" fillId="0" borderId="3" xfId="2" applyNumberFormat="1" applyFont="1" applyFill="1" applyBorder="1" applyAlignment="1">
      <alignment horizontal="right"/>
    </xf>
    <xf numFmtId="165" fontId="3" fillId="0" borderId="3" xfId="0" applyNumberFormat="1" applyFont="1" applyBorder="1" applyAlignment="1">
      <alignment horizontal="right"/>
    </xf>
    <xf numFmtId="165" fontId="3" fillId="0" borderId="6" xfId="0" applyNumberFormat="1" applyFont="1" applyBorder="1" applyAlignment="1">
      <alignment horizontal="right"/>
    </xf>
    <xf numFmtId="1" fontId="3" fillId="0" borderId="3" xfId="0" applyNumberFormat="1" applyFont="1" applyBorder="1" applyAlignment="1">
      <alignment horizontal="right"/>
    </xf>
    <xf numFmtId="164" fontId="3" fillId="0" borderId="6" xfId="1" applyNumberFormat="1" applyFont="1" applyFill="1" applyBorder="1" applyAlignment="1">
      <alignment horizontal="right"/>
    </xf>
    <xf numFmtId="164" fontId="3" fillId="3" borderId="1" xfId="1" applyNumberFormat="1" applyFont="1" applyFill="1" applyBorder="1" applyAlignment="1">
      <alignment horizontal="right"/>
    </xf>
    <xf numFmtId="1" fontId="3" fillId="3" borderId="2" xfId="0" applyNumberFormat="1" applyFont="1" applyFill="1" applyBorder="1" applyAlignment="1">
      <alignment horizontal="right"/>
    </xf>
    <xf numFmtId="164" fontId="3" fillId="3" borderId="0" xfId="1" applyNumberFormat="1" applyFont="1" applyFill="1" applyBorder="1" applyAlignment="1">
      <alignment horizontal="right"/>
    </xf>
    <xf numFmtId="1" fontId="3" fillId="3" borderId="0" xfId="0" applyNumberFormat="1" applyFont="1" applyFill="1" applyAlignment="1">
      <alignment horizontal="right"/>
    </xf>
    <xf numFmtId="164" fontId="3" fillId="0" borderId="7" xfId="1" applyNumberFormat="1" applyFont="1" applyFill="1" applyBorder="1" applyAlignment="1">
      <alignment horizontal="right"/>
    </xf>
    <xf numFmtId="10" fontId="3" fillId="0" borderId="8" xfId="0" applyNumberFormat="1" applyFont="1" applyBorder="1" applyAlignment="1">
      <alignment horizontal="right"/>
    </xf>
    <xf numFmtId="10" fontId="3" fillId="0" borderId="4" xfId="2" applyNumberFormat="1" applyFont="1" applyFill="1" applyBorder="1" applyAlignment="1">
      <alignment horizontal="right"/>
    </xf>
    <xf numFmtId="165" fontId="3" fillId="0" borderId="5" xfId="0" applyNumberFormat="1" applyFont="1" applyBorder="1" applyAlignment="1">
      <alignment horizontal="right"/>
    </xf>
    <xf numFmtId="164" fontId="3" fillId="0" borderId="4" xfId="1" applyNumberFormat="1" applyFont="1" applyFill="1" applyBorder="1" applyAlignment="1">
      <alignment horizontal="right"/>
    </xf>
    <xf numFmtId="164" fontId="3" fillId="0" borderId="5" xfId="1" applyNumberFormat="1" applyFont="1" applyFill="1" applyBorder="1" applyAlignment="1">
      <alignment horizontal="right"/>
    </xf>
    <xf numFmtId="10" fontId="3" fillId="3" borderId="2" xfId="0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1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9784-61DA-4CAF-82BF-6E03A9D6E286}">
  <dimension ref="A1:Q74"/>
  <sheetViews>
    <sheetView tabSelected="1" workbookViewId="0">
      <selection sqref="A1:Q74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2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3" t="s">
        <v>82</v>
      </c>
      <c r="O1" s="3" t="s">
        <v>83</v>
      </c>
      <c r="P1" s="3" t="s">
        <v>84</v>
      </c>
      <c r="Q1" s="4" t="s">
        <v>85</v>
      </c>
    </row>
    <row r="2" spans="1:17" x14ac:dyDescent="0.35">
      <c r="A2" s="5">
        <v>1</v>
      </c>
      <c r="B2" s="6" t="s">
        <v>3</v>
      </c>
      <c r="C2" s="7">
        <v>761911.75</v>
      </c>
      <c r="D2" s="7">
        <v>778395.35</v>
      </c>
      <c r="E2" s="7">
        <v>761911.75</v>
      </c>
      <c r="F2" s="7">
        <v>644071.36</v>
      </c>
      <c r="G2" s="7">
        <v>1086632.3</v>
      </c>
      <c r="H2" s="8"/>
      <c r="I2" s="9">
        <v>0.68713028941389354</v>
      </c>
      <c r="J2" s="7">
        <v>312326.19</v>
      </c>
      <c r="K2" s="7">
        <v>3809023.59</v>
      </c>
      <c r="L2" s="7">
        <v>3870885.93</v>
      </c>
      <c r="M2" s="7">
        <v>3819153.75</v>
      </c>
      <c r="N2" s="7">
        <v>1437384.81</v>
      </c>
      <c r="O2" s="7">
        <v>1437384.81</v>
      </c>
      <c r="P2" s="7">
        <v>489075.18</v>
      </c>
      <c r="Q2" s="10">
        <v>1.9389853927978926</v>
      </c>
    </row>
    <row r="3" spans="1:17" x14ac:dyDescent="0.35">
      <c r="A3" s="5">
        <v>2</v>
      </c>
      <c r="B3" s="6" t="s">
        <v>4</v>
      </c>
      <c r="C3" s="7">
        <v>58208.69</v>
      </c>
      <c r="D3" s="7">
        <v>37801.99</v>
      </c>
      <c r="E3" s="7">
        <v>58208.69</v>
      </c>
      <c r="F3" s="7">
        <v>69706.02</v>
      </c>
      <c r="G3" s="7">
        <v>72872.3</v>
      </c>
      <c r="H3" s="8"/>
      <c r="I3" s="9">
        <v>4.542333646362251E-2</v>
      </c>
      <c r="J3" s="7">
        <v>124152.66</v>
      </c>
      <c r="K3" s="7">
        <v>131696.76999999999</v>
      </c>
      <c r="L3" s="7">
        <v>221531.15</v>
      </c>
      <c r="M3" s="7">
        <v>222459.24</v>
      </c>
      <c r="N3" s="7">
        <v>109519.7</v>
      </c>
      <c r="O3" s="7">
        <v>109519.7</v>
      </c>
      <c r="P3" s="7">
        <v>0</v>
      </c>
      <c r="Q3" s="10" t="e">
        <v>#DIV/0!</v>
      </c>
    </row>
    <row r="4" spans="1:17" x14ac:dyDescent="0.35">
      <c r="A4" s="5">
        <v>3</v>
      </c>
      <c r="B4" s="6" t="s">
        <v>5</v>
      </c>
      <c r="C4" s="7">
        <v>41083.449999999997</v>
      </c>
      <c r="D4" s="7">
        <v>28974.75</v>
      </c>
      <c r="E4" s="7">
        <v>41083.449999999997</v>
      </c>
      <c r="F4" s="7">
        <v>30459.63</v>
      </c>
      <c r="G4" s="7">
        <v>20575.04</v>
      </c>
      <c r="H4" s="8"/>
      <c r="I4" s="9">
        <v>-0.32451444748343961</v>
      </c>
      <c r="J4" s="7">
        <v>4322.08</v>
      </c>
      <c r="K4" s="7">
        <v>67540.13</v>
      </c>
      <c r="L4" s="7">
        <v>83767.31</v>
      </c>
      <c r="M4" s="7">
        <v>143699.1</v>
      </c>
      <c r="N4" s="7">
        <v>30635.02</v>
      </c>
      <c r="O4" s="7">
        <v>30635.02</v>
      </c>
      <c r="P4" s="7">
        <v>176966.22</v>
      </c>
      <c r="Q4" s="10">
        <v>-0.82688775292821415</v>
      </c>
    </row>
    <row r="5" spans="1:17" x14ac:dyDescent="0.35">
      <c r="A5" s="5">
        <v>4</v>
      </c>
      <c r="B5" s="6" t="s">
        <v>6</v>
      </c>
      <c r="C5" s="7">
        <v>772821.86</v>
      </c>
      <c r="D5" s="7">
        <v>902507.18</v>
      </c>
      <c r="E5" s="7">
        <v>772821.86</v>
      </c>
      <c r="F5" s="7">
        <v>773347.1</v>
      </c>
      <c r="G5" s="7">
        <v>1157744.92</v>
      </c>
      <c r="H5" s="8"/>
      <c r="I5" s="9">
        <v>0.49705729807482291</v>
      </c>
      <c r="J5" s="7">
        <v>350720.67</v>
      </c>
      <c r="K5" s="7">
        <v>4227432.58</v>
      </c>
      <c r="L5" s="7">
        <v>4253134.2</v>
      </c>
      <c r="M5" s="7">
        <v>4227582.6099999994</v>
      </c>
      <c r="N5" s="7">
        <v>1589866.11</v>
      </c>
      <c r="O5" s="7">
        <v>1589866.11</v>
      </c>
      <c r="P5" s="7">
        <v>533072.41</v>
      </c>
      <c r="Q5" s="10">
        <v>1.9824580679386501</v>
      </c>
    </row>
    <row r="6" spans="1:17" x14ac:dyDescent="0.35">
      <c r="A6" s="5">
        <v>5</v>
      </c>
      <c r="B6" s="6" t="s">
        <v>7</v>
      </c>
      <c r="C6" s="11">
        <v>0.98588276216720894</v>
      </c>
      <c r="D6" s="11">
        <v>0.86248106081549392</v>
      </c>
      <c r="E6" s="11">
        <v>0.98588276216720894</v>
      </c>
      <c r="F6" s="11">
        <v>0.83283607063374265</v>
      </c>
      <c r="G6" s="11">
        <v>0.93857660804937937</v>
      </c>
      <c r="H6" s="8"/>
      <c r="I6" s="12">
        <v>1058</v>
      </c>
      <c r="J6" s="11">
        <v>0.89052689708878585</v>
      </c>
      <c r="K6" s="11">
        <v>0.90102527193940485</v>
      </c>
      <c r="L6" s="11">
        <v>0.91012550932439418</v>
      </c>
      <c r="M6" s="11">
        <v>0.9033895023047227</v>
      </c>
      <c r="N6" s="11">
        <v>0.90409173512101593</v>
      </c>
      <c r="O6" s="11">
        <v>0.90409173512101593</v>
      </c>
      <c r="P6" s="11">
        <v>0.91746481495825294</v>
      </c>
      <c r="Q6" s="13">
        <v>-134</v>
      </c>
    </row>
    <row r="7" spans="1:17" x14ac:dyDescent="0.35">
      <c r="A7" s="5">
        <v>6</v>
      </c>
      <c r="B7" s="6" t="s">
        <v>8</v>
      </c>
      <c r="C7" s="14">
        <v>644.92913352192363</v>
      </c>
      <c r="D7" s="14">
        <v>673.59802175838081</v>
      </c>
      <c r="E7" s="14">
        <v>644.92913352192363</v>
      </c>
      <c r="F7" s="14">
        <v>603.13917911434237</v>
      </c>
      <c r="G7" s="14">
        <v>697.36549545686557</v>
      </c>
      <c r="H7" s="8"/>
      <c r="I7" s="9">
        <v>0.15622648901848235</v>
      </c>
      <c r="J7" s="14">
        <v>564.59807721691675</v>
      </c>
      <c r="K7" s="14">
        <v>663.52360260707633</v>
      </c>
      <c r="L7" s="14">
        <v>668.98138576379631</v>
      </c>
      <c r="M7" s="14">
        <v>648.03162896856304</v>
      </c>
      <c r="N7" s="14">
        <v>665.73527672107889</v>
      </c>
      <c r="O7" s="14">
        <v>665.73527672107889</v>
      </c>
      <c r="P7" s="14">
        <v>539.01066306769496</v>
      </c>
      <c r="Q7" s="10">
        <v>0.23510594935571505</v>
      </c>
    </row>
    <row r="8" spans="1:17" x14ac:dyDescent="0.35">
      <c r="A8" s="5">
        <v>7</v>
      </c>
      <c r="B8" s="6" t="s">
        <v>9</v>
      </c>
      <c r="C8" s="7">
        <v>111</v>
      </c>
      <c r="D8" s="7">
        <v>112</v>
      </c>
      <c r="E8" s="7">
        <v>111</v>
      </c>
      <c r="F8" s="7">
        <v>110</v>
      </c>
      <c r="G8" s="7">
        <v>110</v>
      </c>
      <c r="H8" s="8"/>
      <c r="I8" s="14">
        <v>0</v>
      </c>
      <c r="J8" s="7">
        <v>105</v>
      </c>
      <c r="K8" s="7">
        <v>0</v>
      </c>
      <c r="L8" s="7">
        <v>0</v>
      </c>
      <c r="M8" s="15">
        <v>0</v>
      </c>
      <c r="N8" s="16"/>
      <c r="O8" s="16"/>
      <c r="P8" s="16"/>
      <c r="Q8" s="17"/>
    </row>
    <row r="9" spans="1:17" x14ac:dyDescent="0.35">
      <c r="A9" s="5">
        <v>8</v>
      </c>
      <c r="B9" s="6" t="s">
        <v>10</v>
      </c>
      <c r="C9" s="7">
        <v>14</v>
      </c>
      <c r="D9" s="7">
        <v>13</v>
      </c>
      <c r="E9" s="7">
        <v>14</v>
      </c>
      <c r="F9" s="7">
        <v>14</v>
      </c>
      <c r="G9" s="7">
        <v>14</v>
      </c>
      <c r="H9" s="8"/>
      <c r="I9" s="14">
        <v>0</v>
      </c>
      <c r="J9" s="7">
        <v>69</v>
      </c>
      <c r="K9" s="7">
        <v>0</v>
      </c>
      <c r="L9" s="7">
        <v>0</v>
      </c>
      <c r="M9" s="15">
        <v>0</v>
      </c>
      <c r="N9" s="16"/>
      <c r="O9" s="16"/>
      <c r="P9" s="16"/>
      <c r="Q9" s="17"/>
    </row>
    <row r="10" spans="1:17" x14ac:dyDescent="0.35">
      <c r="A10" s="5">
        <v>9</v>
      </c>
      <c r="B10" s="6" t="s">
        <v>11</v>
      </c>
      <c r="C10" s="7">
        <v>10</v>
      </c>
      <c r="D10" s="7">
        <v>10</v>
      </c>
      <c r="E10" s="7">
        <v>10</v>
      </c>
      <c r="F10" s="7">
        <v>10</v>
      </c>
      <c r="G10" s="7">
        <v>10</v>
      </c>
      <c r="H10" s="8"/>
      <c r="I10" s="14">
        <v>0</v>
      </c>
      <c r="J10" s="7">
        <v>16</v>
      </c>
      <c r="K10" s="7">
        <v>0</v>
      </c>
      <c r="L10" s="7">
        <v>0</v>
      </c>
      <c r="M10" s="15">
        <v>0</v>
      </c>
      <c r="N10" s="16"/>
      <c r="O10" s="16"/>
      <c r="P10" s="16"/>
      <c r="Q10" s="17"/>
    </row>
    <row r="11" spans="1:17" x14ac:dyDescent="0.35">
      <c r="A11" s="5">
        <v>10</v>
      </c>
      <c r="B11" s="6" t="s">
        <v>12</v>
      </c>
      <c r="C11" s="7">
        <v>57</v>
      </c>
      <c r="D11" s="7">
        <v>57</v>
      </c>
      <c r="E11" s="7">
        <v>57</v>
      </c>
      <c r="F11" s="7">
        <v>59</v>
      </c>
      <c r="G11" s="7">
        <v>58</v>
      </c>
      <c r="H11" s="8"/>
      <c r="I11" s="14">
        <v>-1</v>
      </c>
      <c r="J11" s="7">
        <v>51</v>
      </c>
      <c r="K11" s="7">
        <v>0</v>
      </c>
      <c r="L11" s="7">
        <v>0</v>
      </c>
      <c r="M11" s="15">
        <v>0</v>
      </c>
      <c r="N11" s="16"/>
      <c r="O11" s="16"/>
      <c r="P11" s="16"/>
      <c r="Q11" s="17"/>
    </row>
    <row r="12" spans="1:17" x14ac:dyDescent="0.35">
      <c r="A12" s="5">
        <v>11</v>
      </c>
      <c r="B12" s="6" t="s">
        <v>13</v>
      </c>
      <c r="C12" s="7">
        <v>109</v>
      </c>
      <c r="D12" s="7">
        <v>112</v>
      </c>
      <c r="E12" s="7">
        <v>109</v>
      </c>
      <c r="F12" s="7">
        <v>109</v>
      </c>
      <c r="G12" s="7">
        <v>109</v>
      </c>
      <c r="H12" s="8"/>
      <c r="I12" s="14">
        <v>0</v>
      </c>
      <c r="J12" s="7">
        <v>105</v>
      </c>
      <c r="K12" s="7">
        <v>0</v>
      </c>
      <c r="L12" s="7">
        <v>0</v>
      </c>
      <c r="M12" s="15">
        <v>0</v>
      </c>
      <c r="N12" s="16"/>
      <c r="O12" s="16"/>
      <c r="P12" s="16"/>
      <c r="Q12" s="17"/>
    </row>
    <row r="13" spans="1:17" x14ac:dyDescent="0.35">
      <c r="A13" s="5">
        <v>12</v>
      </c>
      <c r="B13" s="6" t="s">
        <v>14</v>
      </c>
      <c r="C13" s="7">
        <v>16</v>
      </c>
      <c r="D13" s="7">
        <v>16</v>
      </c>
      <c r="E13" s="7">
        <v>16</v>
      </c>
      <c r="F13" s="7">
        <v>14</v>
      </c>
      <c r="G13" s="7">
        <v>14</v>
      </c>
      <c r="H13" s="8"/>
      <c r="I13" s="14">
        <v>0</v>
      </c>
      <c r="J13" s="7">
        <v>0</v>
      </c>
      <c r="K13" s="7">
        <v>0</v>
      </c>
      <c r="L13" s="7">
        <v>0</v>
      </c>
      <c r="M13" s="15">
        <v>0</v>
      </c>
      <c r="N13" s="16"/>
      <c r="O13" s="16"/>
      <c r="P13" s="16"/>
      <c r="Q13" s="17"/>
    </row>
    <row r="14" spans="1:17" x14ac:dyDescent="0.35">
      <c r="A14" s="5">
        <v>13</v>
      </c>
      <c r="B14" s="6" t="s">
        <v>15</v>
      </c>
      <c r="C14" s="7">
        <v>61</v>
      </c>
      <c r="D14" s="7">
        <v>61</v>
      </c>
      <c r="E14" s="7">
        <v>61</v>
      </c>
      <c r="F14" s="7">
        <v>61</v>
      </c>
      <c r="G14" s="7">
        <v>60</v>
      </c>
      <c r="H14" s="8"/>
      <c r="I14" s="14">
        <v>-1</v>
      </c>
      <c r="J14" s="7">
        <v>51</v>
      </c>
      <c r="K14" s="7">
        <v>0</v>
      </c>
      <c r="L14" s="7">
        <v>0</v>
      </c>
      <c r="M14" s="15">
        <v>0</v>
      </c>
      <c r="N14" s="16"/>
      <c r="O14" s="16"/>
      <c r="P14" s="16"/>
      <c r="Q14" s="17"/>
    </row>
    <row r="15" spans="1:17" x14ac:dyDescent="0.35">
      <c r="A15" s="5">
        <v>14</v>
      </c>
      <c r="B15" s="6" t="s">
        <v>16</v>
      </c>
      <c r="C15" s="7">
        <v>106</v>
      </c>
      <c r="D15" s="7">
        <v>108</v>
      </c>
      <c r="E15" s="7">
        <v>106</v>
      </c>
      <c r="F15" s="7">
        <v>108</v>
      </c>
      <c r="G15" s="7">
        <v>109</v>
      </c>
      <c r="H15" s="8"/>
      <c r="I15" s="14">
        <v>1</v>
      </c>
      <c r="J15" s="7">
        <v>92</v>
      </c>
      <c r="K15" s="7">
        <v>0</v>
      </c>
      <c r="L15" s="7">
        <v>0</v>
      </c>
      <c r="M15" s="15">
        <v>0</v>
      </c>
      <c r="N15" s="16"/>
      <c r="O15" s="16"/>
      <c r="P15" s="16"/>
      <c r="Q15" s="17"/>
    </row>
    <row r="16" spans="1:17" x14ac:dyDescent="0.35">
      <c r="A16" s="5">
        <v>15</v>
      </c>
      <c r="B16" s="6" t="s">
        <v>17</v>
      </c>
      <c r="C16" s="7">
        <v>57</v>
      </c>
      <c r="D16" s="7">
        <v>57</v>
      </c>
      <c r="E16" s="7">
        <v>57</v>
      </c>
      <c r="F16" s="7">
        <v>59</v>
      </c>
      <c r="G16" s="7">
        <v>58</v>
      </c>
      <c r="H16" s="8"/>
      <c r="I16" s="14">
        <v>-1</v>
      </c>
      <c r="J16" s="7">
        <v>51</v>
      </c>
      <c r="K16" s="7">
        <v>0</v>
      </c>
      <c r="L16" s="7">
        <v>0</v>
      </c>
      <c r="M16" s="15">
        <v>0</v>
      </c>
      <c r="N16" s="18"/>
      <c r="O16" s="18"/>
      <c r="P16" s="18"/>
      <c r="Q16" s="19"/>
    </row>
    <row r="17" spans="1:17" x14ac:dyDescent="0.35">
      <c r="A17" s="5">
        <v>16</v>
      </c>
      <c r="B17" s="6" t="s">
        <v>18</v>
      </c>
      <c r="C17" s="7">
        <v>16</v>
      </c>
      <c r="D17" s="7">
        <v>16</v>
      </c>
      <c r="E17" s="7">
        <v>16</v>
      </c>
      <c r="F17" s="7">
        <v>14</v>
      </c>
      <c r="G17" s="7">
        <v>14</v>
      </c>
      <c r="H17" s="8"/>
      <c r="I17" s="14">
        <v>0</v>
      </c>
      <c r="J17" s="7">
        <v>0</v>
      </c>
      <c r="K17" s="7">
        <v>0</v>
      </c>
      <c r="L17" s="7">
        <v>0</v>
      </c>
      <c r="M17" s="15">
        <v>0</v>
      </c>
      <c r="N17" s="18"/>
      <c r="O17" s="18"/>
      <c r="P17" s="18"/>
      <c r="Q17" s="19"/>
    </row>
    <row r="18" spans="1:17" x14ac:dyDescent="0.35">
      <c r="A18" s="5"/>
      <c r="B18" s="6" t="s">
        <v>19</v>
      </c>
      <c r="C18" s="7">
        <v>31366</v>
      </c>
      <c r="D18" s="7">
        <v>39736</v>
      </c>
      <c r="E18" s="7">
        <v>31366</v>
      </c>
      <c r="F18" s="7">
        <v>28068</v>
      </c>
      <c r="G18" s="7">
        <v>43950</v>
      </c>
      <c r="H18" s="8"/>
      <c r="I18" s="9">
        <v>0.56584010260795203</v>
      </c>
      <c r="J18" s="7">
        <v>11478</v>
      </c>
      <c r="K18" s="7">
        <v>137851</v>
      </c>
      <c r="L18" s="7">
        <v>154040</v>
      </c>
      <c r="M18" s="7">
        <v>165466</v>
      </c>
      <c r="N18" s="20">
        <v>59987</v>
      </c>
      <c r="O18" s="20">
        <v>59987</v>
      </c>
      <c r="P18" s="20">
        <v>192234</v>
      </c>
      <c r="Q18" s="21">
        <v>-0.68794802168190849</v>
      </c>
    </row>
    <row r="19" spans="1:17" x14ac:dyDescent="0.35">
      <c r="A19" s="5"/>
      <c r="B19" s="6" t="s">
        <v>20</v>
      </c>
      <c r="C19" s="7">
        <v>31189</v>
      </c>
      <c r="D19" s="7">
        <v>39669</v>
      </c>
      <c r="E19" s="7">
        <v>31189</v>
      </c>
      <c r="F19" s="7">
        <v>27946</v>
      </c>
      <c r="G19" s="7">
        <v>43879</v>
      </c>
      <c r="H19" s="8"/>
      <c r="I19" s="9">
        <v>0.57013526086023036</v>
      </c>
      <c r="J19" s="7">
        <v>11478</v>
      </c>
      <c r="K19" s="7">
        <v>132701</v>
      </c>
      <c r="L19" s="7">
        <v>151135</v>
      </c>
      <c r="M19" s="7">
        <v>164901</v>
      </c>
      <c r="N19" s="7">
        <v>59872</v>
      </c>
      <c r="O19" s="7">
        <v>59872</v>
      </c>
      <c r="P19" s="7">
        <v>192118</v>
      </c>
      <c r="Q19" s="10">
        <v>-0.68835819652505226</v>
      </c>
    </row>
    <row r="20" spans="1:17" x14ac:dyDescent="0.35">
      <c r="A20" s="5"/>
      <c r="B20" s="6" t="s">
        <v>21</v>
      </c>
      <c r="C20" s="7">
        <v>46314</v>
      </c>
      <c r="D20" s="7">
        <v>57806</v>
      </c>
      <c r="E20" s="7">
        <v>46314</v>
      </c>
      <c r="F20" s="7">
        <v>52265</v>
      </c>
      <c r="G20" s="7">
        <v>69380</v>
      </c>
      <c r="H20" s="8"/>
      <c r="I20" s="9">
        <v>0.32746579929206932</v>
      </c>
      <c r="J20" s="7">
        <v>23595</v>
      </c>
      <c r="K20" s="7">
        <v>265234</v>
      </c>
      <c r="L20" s="7">
        <v>275249</v>
      </c>
      <c r="M20" s="7">
        <v>254660</v>
      </c>
      <c r="N20" s="7">
        <v>101232</v>
      </c>
      <c r="O20" s="7">
        <v>101232</v>
      </c>
      <c r="P20" s="7">
        <v>399954</v>
      </c>
      <c r="Q20" s="10">
        <v>-0.74689089245263207</v>
      </c>
    </row>
    <row r="21" spans="1:17" x14ac:dyDescent="0.35">
      <c r="A21" s="5">
        <v>17</v>
      </c>
      <c r="B21" s="6" t="s">
        <v>22</v>
      </c>
      <c r="C21" s="11">
        <v>0.6772466208921708</v>
      </c>
      <c r="D21" s="11">
        <v>0.68740269176210078</v>
      </c>
      <c r="E21" s="11">
        <v>0.6772466208921708</v>
      </c>
      <c r="F21" s="11">
        <v>0.53703243088108676</v>
      </c>
      <c r="G21" s="11">
        <v>0.63346785817238394</v>
      </c>
      <c r="H21" s="8"/>
      <c r="I21" s="12">
        <v>965</v>
      </c>
      <c r="J21" s="11">
        <v>0.48645899554990463</v>
      </c>
      <c r="K21" s="11">
        <v>0.51973351832721293</v>
      </c>
      <c r="L21" s="11">
        <v>0.55963872711617479</v>
      </c>
      <c r="M21" s="11">
        <v>0.64975261132490381</v>
      </c>
      <c r="N21" s="11">
        <v>0.59256954322743793</v>
      </c>
      <c r="O21" s="11">
        <v>0.59256954322743793</v>
      </c>
      <c r="P21" s="11">
        <v>0.48064027363146761</v>
      </c>
      <c r="Q21" s="13">
        <v>1120</v>
      </c>
    </row>
    <row r="22" spans="1:17" x14ac:dyDescent="0.35">
      <c r="A22" s="5">
        <v>18</v>
      </c>
      <c r="B22" s="6" t="s">
        <v>23</v>
      </c>
      <c r="C22" s="11">
        <v>0.67342488232499897</v>
      </c>
      <c r="D22" s="11">
        <v>0.68624364252845726</v>
      </c>
      <c r="E22" s="11">
        <v>0.67342488232499897</v>
      </c>
      <c r="F22" s="11">
        <v>0.53469817277336651</v>
      </c>
      <c r="G22" s="11">
        <v>0.63244450850389156</v>
      </c>
      <c r="H22" s="8"/>
      <c r="I22" s="12">
        <v>978</v>
      </c>
      <c r="J22" s="11">
        <v>0.48645899554990463</v>
      </c>
      <c r="K22" s="11">
        <v>0.50031670147869434</v>
      </c>
      <c r="L22" s="11">
        <v>0.54908464699235959</v>
      </c>
      <c r="M22" s="11">
        <v>0.64753396685777109</v>
      </c>
      <c r="N22" s="11">
        <v>0.59143353880195981</v>
      </c>
      <c r="O22" s="11">
        <v>0.59143353880195981</v>
      </c>
      <c r="P22" s="11">
        <v>0.4803502402776319</v>
      </c>
      <c r="Q22" s="13">
        <v>1111</v>
      </c>
    </row>
    <row r="23" spans="1:17" x14ac:dyDescent="0.35">
      <c r="A23" s="5">
        <v>19</v>
      </c>
      <c r="B23" s="6" t="s">
        <v>24</v>
      </c>
      <c r="C23" s="11">
        <v>3.0530725050740597E-2</v>
      </c>
      <c r="D23" s="11">
        <v>2.7350102065529531E-2</v>
      </c>
      <c r="E23" s="11">
        <v>3.0530725050740597E-2</v>
      </c>
      <c r="F23" s="11">
        <v>2.8948627188366976E-2</v>
      </c>
      <c r="G23" s="11">
        <v>2.8235802825021621E-2</v>
      </c>
      <c r="H23" s="8"/>
      <c r="I23" s="12">
        <v>-8</v>
      </c>
      <c r="J23" s="11">
        <v>3.106590379317652E-2</v>
      </c>
      <c r="K23" s="11">
        <v>2.8344782343138513E-2</v>
      </c>
      <c r="L23" s="11">
        <v>2.7255321545219056E-2</v>
      </c>
      <c r="M23" s="11">
        <v>3.0228540014136496E-2</v>
      </c>
      <c r="N23" s="11">
        <v>2.7837047573889679E-2</v>
      </c>
      <c r="O23" s="11">
        <v>2.7837047573889679E-2</v>
      </c>
      <c r="P23" s="11">
        <v>2.9178355510883752E-3</v>
      </c>
      <c r="Q23" s="13">
        <v>250</v>
      </c>
    </row>
    <row r="24" spans="1:17" x14ac:dyDescent="0.35">
      <c r="A24" s="5"/>
      <c r="B24" s="6" t="s">
        <v>25</v>
      </c>
      <c r="C24" s="7">
        <v>29565</v>
      </c>
      <c r="D24" s="7">
        <v>22386</v>
      </c>
      <c r="E24" s="7">
        <v>29565</v>
      </c>
      <c r="F24" s="7">
        <v>29481</v>
      </c>
      <c r="G24" s="7">
        <v>48415</v>
      </c>
      <c r="H24" s="8"/>
      <c r="I24" s="9">
        <v>0.64224415725382444</v>
      </c>
      <c r="J24" s="7">
        <v>10895</v>
      </c>
      <c r="K24" s="7">
        <v>98816</v>
      </c>
      <c r="L24" s="7">
        <v>130147</v>
      </c>
      <c r="M24" s="7">
        <v>139237</v>
      </c>
      <c r="N24" s="7">
        <v>66016</v>
      </c>
      <c r="O24" s="7">
        <v>66016</v>
      </c>
      <c r="P24" s="7">
        <v>17016</v>
      </c>
      <c r="Q24" s="10">
        <v>2.8796426892336626</v>
      </c>
    </row>
    <row r="25" spans="1:17" x14ac:dyDescent="0.35">
      <c r="A25" s="5"/>
      <c r="B25" s="6" t="s">
        <v>26</v>
      </c>
      <c r="C25" s="7">
        <v>36916</v>
      </c>
      <c r="D25" s="7">
        <v>33092</v>
      </c>
      <c r="E25" s="7">
        <v>36916</v>
      </c>
      <c r="F25" s="7">
        <v>39420</v>
      </c>
      <c r="G25" s="7">
        <v>54603</v>
      </c>
      <c r="H25" s="8"/>
      <c r="I25" s="9">
        <v>0.38515981735159821</v>
      </c>
      <c r="J25" s="7">
        <v>16738</v>
      </c>
      <c r="K25" s="7">
        <v>171031</v>
      </c>
      <c r="L25" s="7">
        <v>204030</v>
      </c>
      <c r="M25" s="7">
        <v>191862</v>
      </c>
      <c r="N25" s="7">
        <v>78560</v>
      </c>
      <c r="O25" s="7">
        <v>78560</v>
      </c>
      <c r="P25" s="7">
        <v>25101</v>
      </c>
      <c r="Q25" s="10">
        <v>2.1297557866220469</v>
      </c>
    </row>
    <row r="26" spans="1:17" x14ac:dyDescent="0.35">
      <c r="A26" s="5">
        <v>20</v>
      </c>
      <c r="B26" s="6" t="s">
        <v>27</v>
      </c>
      <c r="C26" s="11">
        <v>0.80087225051468203</v>
      </c>
      <c r="D26" s="11">
        <v>0.67647769853741091</v>
      </c>
      <c r="E26" s="11">
        <v>0.80087225051468203</v>
      </c>
      <c r="F26" s="11">
        <v>0.74786910197869105</v>
      </c>
      <c r="G26" s="11">
        <v>0.88667289343076383</v>
      </c>
      <c r="H26" s="8"/>
      <c r="I26" s="12">
        <v>1389</v>
      </c>
      <c r="J26" s="11">
        <v>0.65091408770462422</v>
      </c>
      <c r="K26" s="11">
        <v>0.57776660371511601</v>
      </c>
      <c r="L26" s="11">
        <v>0.63788168406606871</v>
      </c>
      <c r="M26" s="11">
        <v>0.72571431549759724</v>
      </c>
      <c r="N26" s="11">
        <v>0.84032586558044808</v>
      </c>
      <c r="O26" s="11">
        <v>0.84032586558044808</v>
      </c>
      <c r="P26" s="11">
        <v>0.67790127883351259</v>
      </c>
      <c r="Q26" s="13">
        <v>1625</v>
      </c>
    </row>
    <row r="27" spans="1:17" x14ac:dyDescent="0.35">
      <c r="A27" s="5"/>
      <c r="B27" s="6" t="s">
        <v>28</v>
      </c>
      <c r="C27" s="7">
        <v>678</v>
      </c>
      <c r="D27" s="7">
        <v>929</v>
      </c>
      <c r="E27" s="7">
        <v>678</v>
      </c>
      <c r="F27" s="7">
        <v>698</v>
      </c>
      <c r="G27" s="7">
        <v>957</v>
      </c>
      <c r="H27" s="8"/>
      <c r="I27" s="9">
        <v>0.37106017191977081</v>
      </c>
      <c r="J27" s="7">
        <v>260</v>
      </c>
      <c r="K27" s="7">
        <v>3398</v>
      </c>
      <c r="L27" s="7">
        <v>3758</v>
      </c>
      <c r="M27" s="7">
        <v>4290</v>
      </c>
      <c r="N27" s="7">
        <v>1328</v>
      </c>
      <c r="O27" s="7">
        <v>1328</v>
      </c>
      <c r="P27" s="7">
        <v>474</v>
      </c>
      <c r="Q27" s="10">
        <v>1.8016877637130801</v>
      </c>
    </row>
    <row r="28" spans="1:17" x14ac:dyDescent="0.35">
      <c r="A28" s="5"/>
      <c r="B28" s="6" t="s">
        <v>29</v>
      </c>
      <c r="C28" s="7">
        <v>1414</v>
      </c>
      <c r="D28" s="7">
        <v>1581</v>
      </c>
      <c r="E28" s="7">
        <v>1414</v>
      </c>
      <c r="F28" s="7">
        <v>1513</v>
      </c>
      <c r="G28" s="7">
        <v>1959</v>
      </c>
      <c r="H28" s="8"/>
      <c r="I28" s="9">
        <v>0.29477858559153991</v>
      </c>
      <c r="J28" s="7">
        <v>733</v>
      </c>
      <c r="K28" s="7">
        <v>7518</v>
      </c>
      <c r="L28" s="7">
        <v>7502</v>
      </c>
      <c r="M28" s="7">
        <v>7698</v>
      </c>
      <c r="N28" s="7">
        <v>2818</v>
      </c>
      <c r="O28" s="7">
        <v>2818</v>
      </c>
      <c r="P28" s="7">
        <v>1167</v>
      </c>
      <c r="Q28" s="10">
        <v>1.4147386461011138</v>
      </c>
    </row>
    <row r="29" spans="1:17" x14ac:dyDescent="0.35">
      <c r="A29" s="5">
        <v>21</v>
      </c>
      <c r="B29" s="6" t="s">
        <v>30</v>
      </c>
      <c r="C29" s="11">
        <v>0.4794908062234795</v>
      </c>
      <c r="D29" s="11">
        <v>0.58760278304870339</v>
      </c>
      <c r="E29" s="11">
        <v>0.4794908062234795</v>
      </c>
      <c r="F29" s="11">
        <v>0.46133509583608717</v>
      </c>
      <c r="G29" s="11">
        <v>0.48851454823889739</v>
      </c>
      <c r="H29" s="8"/>
      <c r="I29" s="12">
        <v>272</v>
      </c>
      <c r="J29" s="11">
        <v>0.35470668485675311</v>
      </c>
      <c r="K29" s="11">
        <v>0.45198191008246869</v>
      </c>
      <c r="L29" s="11">
        <v>0.5009330845107971</v>
      </c>
      <c r="M29" s="11">
        <v>0.5572876071706937</v>
      </c>
      <c r="N29" s="11">
        <v>0.47125621007806962</v>
      </c>
      <c r="O29" s="11">
        <v>0.47125621007806962</v>
      </c>
      <c r="P29" s="11">
        <v>0.40616966580976871</v>
      </c>
      <c r="Q29" s="13">
        <v>651</v>
      </c>
    </row>
    <row r="30" spans="1:17" x14ac:dyDescent="0.35">
      <c r="A30" s="5"/>
      <c r="B30" s="6" t="s">
        <v>31</v>
      </c>
      <c r="C30" s="7">
        <v>0</v>
      </c>
      <c r="D30" s="7">
        <v>0</v>
      </c>
      <c r="E30" s="7">
        <v>0</v>
      </c>
      <c r="F30" s="7">
        <v>2939</v>
      </c>
      <c r="G30" s="7">
        <v>812</v>
      </c>
      <c r="H30" s="8"/>
      <c r="I30" s="9">
        <v>-0.72371554950663497</v>
      </c>
      <c r="J30" s="7">
        <v>0</v>
      </c>
      <c r="K30" s="7">
        <v>0</v>
      </c>
      <c r="L30" s="7">
        <v>0</v>
      </c>
      <c r="M30" s="7">
        <v>0</v>
      </c>
      <c r="N30" s="7">
        <v>3751</v>
      </c>
      <c r="O30" s="7">
        <v>3751</v>
      </c>
      <c r="P30" s="7">
        <v>0</v>
      </c>
      <c r="Q30" s="10" t="e">
        <v>#DIV/0!</v>
      </c>
    </row>
    <row r="31" spans="1:17" x14ac:dyDescent="0.35">
      <c r="A31" s="5"/>
      <c r="B31" s="6" t="s">
        <v>32</v>
      </c>
      <c r="C31" s="7">
        <v>466</v>
      </c>
      <c r="D31" s="7">
        <v>741</v>
      </c>
      <c r="E31" s="7">
        <v>466</v>
      </c>
      <c r="F31" s="7">
        <v>2939</v>
      </c>
      <c r="G31" s="7">
        <v>812</v>
      </c>
      <c r="H31" s="8"/>
      <c r="I31" s="9">
        <v>-0.72371554950663497</v>
      </c>
      <c r="J31" s="7">
        <v>0</v>
      </c>
      <c r="K31" s="7">
        <v>4109</v>
      </c>
      <c r="L31" s="7">
        <v>7762</v>
      </c>
      <c r="M31" s="7">
        <v>2210</v>
      </c>
      <c r="N31" s="7">
        <v>3751</v>
      </c>
      <c r="O31" s="7">
        <v>3751</v>
      </c>
      <c r="P31" s="7">
        <v>0</v>
      </c>
      <c r="Q31" s="10" t="e">
        <v>#DIV/0!</v>
      </c>
    </row>
    <row r="32" spans="1:17" x14ac:dyDescent="0.35">
      <c r="A32" s="5">
        <v>22</v>
      </c>
      <c r="B32" s="6" t="s">
        <v>33</v>
      </c>
      <c r="C32" s="11">
        <v>0</v>
      </c>
      <c r="D32" s="11">
        <v>0</v>
      </c>
      <c r="E32" s="11">
        <v>0</v>
      </c>
      <c r="F32" s="11">
        <v>1</v>
      </c>
      <c r="G32" s="11">
        <v>1</v>
      </c>
      <c r="H32" s="8"/>
      <c r="I32" s="12">
        <v>0</v>
      </c>
      <c r="J32" s="11">
        <v>0</v>
      </c>
      <c r="K32" s="11">
        <v>0</v>
      </c>
      <c r="L32" s="11">
        <v>0</v>
      </c>
      <c r="M32" s="11">
        <v>0</v>
      </c>
      <c r="N32" s="11">
        <v>1</v>
      </c>
      <c r="O32" s="11">
        <v>1</v>
      </c>
      <c r="P32" s="11">
        <v>0</v>
      </c>
      <c r="Q32" s="13">
        <v>10000</v>
      </c>
    </row>
    <row r="33" spans="1:17" x14ac:dyDescent="0.35">
      <c r="A33" s="5"/>
      <c r="B33" s="6" t="s">
        <v>34</v>
      </c>
      <c r="C33" s="7">
        <v>938</v>
      </c>
      <c r="D33" s="7">
        <v>1046</v>
      </c>
      <c r="E33" s="7">
        <v>938</v>
      </c>
      <c r="F33" s="7">
        <v>1186</v>
      </c>
      <c r="G33" s="7">
        <v>1311</v>
      </c>
      <c r="H33" s="8"/>
      <c r="I33" s="9">
        <v>0.10539629005059026</v>
      </c>
      <c r="J33" s="7">
        <v>0</v>
      </c>
      <c r="K33" s="7">
        <v>3921</v>
      </c>
      <c r="L33" s="7">
        <v>5736</v>
      </c>
      <c r="M33" s="7">
        <v>5386</v>
      </c>
      <c r="N33" s="7">
        <v>1982</v>
      </c>
      <c r="O33" s="7">
        <v>1982</v>
      </c>
      <c r="P33" s="7">
        <v>0</v>
      </c>
      <c r="Q33" s="10" t="e">
        <v>#DIV/0!</v>
      </c>
    </row>
    <row r="34" spans="1:17" x14ac:dyDescent="0.35">
      <c r="A34" s="5"/>
      <c r="B34" s="6" t="s">
        <v>35</v>
      </c>
      <c r="C34" s="7">
        <v>106</v>
      </c>
      <c r="D34" s="7">
        <v>200</v>
      </c>
      <c r="E34" s="7">
        <v>106</v>
      </c>
      <c r="F34" s="7">
        <v>198</v>
      </c>
      <c r="G34" s="7">
        <v>196</v>
      </c>
      <c r="H34" s="8"/>
      <c r="I34" s="9">
        <v>-1.0101010101010055E-2</v>
      </c>
      <c r="J34" s="7">
        <v>0</v>
      </c>
      <c r="K34" s="7">
        <v>585</v>
      </c>
      <c r="L34" s="7">
        <v>778</v>
      </c>
      <c r="M34" s="7">
        <v>799</v>
      </c>
      <c r="N34" s="7">
        <v>307</v>
      </c>
      <c r="O34" s="7">
        <v>307</v>
      </c>
      <c r="P34" s="7">
        <v>0</v>
      </c>
      <c r="Q34" s="10" t="e">
        <v>#DIV/0!</v>
      </c>
    </row>
    <row r="35" spans="1:17" x14ac:dyDescent="0.35">
      <c r="A35" s="5"/>
      <c r="B35" s="6" t="s">
        <v>29</v>
      </c>
      <c r="C35" s="7">
        <v>1310</v>
      </c>
      <c r="D35" s="7">
        <v>1449</v>
      </c>
      <c r="E35" s="7">
        <v>1310</v>
      </c>
      <c r="F35" s="7">
        <v>1429</v>
      </c>
      <c r="G35" s="7">
        <v>1852</v>
      </c>
      <c r="H35" s="8"/>
      <c r="I35" s="9">
        <v>0.29601119664100772</v>
      </c>
      <c r="J35" s="7">
        <v>701</v>
      </c>
      <c r="K35" s="7">
        <v>6990</v>
      </c>
      <c r="L35" s="7">
        <v>6960</v>
      </c>
      <c r="M35" s="7">
        <v>7109</v>
      </c>
      <c r="N35" s="7">
        <v>2662</v>
      </c>
      <c r="O35" s="7">
        <v>2662</v>
      </c>
      <c r="P35" s="7">
        <v>1091</v>
      </c>
      <c r="Q35" s="10">
        <v>1.4399633363886344</v>
      </c>
    </row>
    <row r="36" spans="1:17" x14ac:dyDescent="0.35">
      <c r="A36" s="5">
        <v>23</v>
      </c>
      <c r="B36" s="6" t="s">
        <v>36</v>
      </c>
      <c r="C36" s="11">
        <v>0.71603053435114505</v>
      </c>
      <c r="D36" s="11">
        <v>0.72187715665976537</v>
      </c>
      <c r="E36" s="11">
        <v>0.71603053435114505</v>
      </c>
      <c r="F36" s="11">
        <v>0.82995101469559129</v>
      </c>
      <c r="G36" s="11">
        <v>0.70788336933045359</v>
      </c>
      <c r="H36" s="8"/>
      <c r="I36" s="12">
        <v>-1221</v>
      </c>
      <c r="J36" s="11">
        <v>0</v>
      </c>
      <c r="K36" s="11">
        <v>0.56094420600858375</v>
      </c>
      <c r="L36" s="11">
        <v>0.82413793103448274</v>
      </c>
      <c r="M36" s="11">
        <v>0.75763117175411454</v>
      </c>
      <c r="N36" s="11">
        <v>0.74455296769346357</v>
      </c>
      <c r="O36" s="11">
        <v>0.74455296769346357</v>
      </c>
      <c r="P36" s="11">
        <v>0</v>
      </c>
      <c r="Q36" s="13">
        <v>7446</v>
      </c>
    </row>
    <row r="37" spans="1:17" x14ac:dyDescent="0.35">
      <c r="A37" s="5">
        <v>24</v>
      </c>
      <c r="B37" s="6" t="s">
        <v>37</v>
      </c>
      <c r="C37" s="11">
        <v>8.0916030534351147E-2</v>
      </c>
      <c r="D37" s="11">
        <v>0.13802622498274669</v>
      </c>
      <c r="E37" s="11">
        <v>8.0916030534351147E-2</v>
      </c>
      <c r="F37" s="11">
        <v>0.1385584324702589</v>
      </c>
      <c r="G37" s="11">
        <v>0.1058315334773218</v>
      </c>
      <c r="H37" s="8"/>
      <c r="I37" s="9">
        <v>-0.23619564980256125</v>
      </c>
      <c r="J37" s="11">
        <v>0</v>
      </c>
      <c r="K37" s="11">
        <v>8.3690987124463517E-2</v>
      </c>
      <c r="L37" s="11">
        <v>0.1117816091954023</v>
      </c>
      <c r="M37" s="11">
        <v>0.11239274159516111</v>
      </c>
      <c r="N37" s="11">
        <v>0.11532682193839219</v>
      </c>
      <c r="O37" s="11">
        <v>0.11532682193839219</v>
      </c>
      <c r="P37" s="11">
        <v>0</v>
      </c>
      <c r="Q37" s="10" t="e">
        <v>#DIV/0!</v>
      </c>
    </row>
    <row r="38" spans="1:17" x14ac:dyDescent="0.35">
      <c r="A38" s="5"/>
      <c r="B38" s="6" t="s">
        <v>38</v>
      </c>
      <c r="C38" s="7">
        <v>37211.75</v>
      </c>
      <c r="D38" s="7">
        <v>63242.23</v>
      </c>
      <c r="E38" s="7">
        <v>37211.75</v>
      </c>
      <c r="F38" s="7">
        <v>32722.81</v>
      </c>
      <c r="G38" s="7">
        <v>4538.13</v>
      </c>
      <c r="H38" s="8"/>
      <c r="I38" s="9">
        <v>-0.86131600556309196</v>
      </c>
      <c r="J38" s="7">
        <v>0</v>
      </c>
      <c r="K38" s="7">
        <v>371650.03</v>
      </c>
      <c r="L38" s="7">
        <v>466428.33</v>
      </c>
      <c r="M38" s="7">
        <v>262881.75</v>
      </c>
      <c r="N38" s="7">
        <v>20199.12</v>
      </c>
      <c r="O38" s="7">
        <v>20199.12</v>
      </c>
      <c r="P38" s="7">
        <v>0</v>
      </c>
      <c r="Q38" s="10" t="e">
        <v>#DIV/0!</v>
      </c>
    </row>
    <row r="39" spans="1:17" x14ac:dyDescent="0.35">
      <c r="A39" s="5"/>
      <c r="B39" s="6" t="s">
        <v>39</v>
      </c>
      <c r="C39" s="7">
        <v>33114.47</v>
      </c>
      <c r="D39" s="7">
        <v>0</v>
      </c>
      <c r="E39" s="7">
        <v>33114.47</v>
      </c>
      <c r="F39" s="7">
        <v>22546.48</v>
      </c>
      <c r="G39" s="7">
        <v>17002.59</v>
      </c>
      <c r="H39" s="8"/>
      <c r="I39" s="9">
        <v>-0.24588716287420476</v>
      </c>
      <c r="J39" s="7">
        <v>0</v>
      </c>
      <c r="K39" s="7">
        <v>156097.72</v>
      </c>
      <c r="L39" s="7">
        <v>248463.31</v>
      </c>
      <c r="M39" s="7">
        <v>55660.95</v>
      </c>
      <c r="N39" s="7">
        <v>17002.59</v>
      </c>
      <c r="O39" s="7">
        <v>17002.59</v>
      </c>
      <c r="P39" s="7">
        <v>0</v>
      </c>
      <c r="Q39" s="10" t="e">
        <v>#DIV/0!</v>
      </c>
    </row>
    <row r="40" spans="1:17" x14ac:dyDescent="0.35">
      <c r="A40" s="5">
        <v>25</v>
      </c>
      <c r="B40" s="6" t="s">
        <v>40</v>
      </c>
      <c r="C40" s="11">
        <v>4.8150488393276042E-2</v>
      </c>
      <c r="D40" s="11">
        <v>7.0073935589077527E-2</v>
      </c>
      <c r="E40" s="11">
        <v>4.8150488393276042E-2</v>
      </c>
      <c r="F40" s="11">
        <v>4.2313225199913457E-2</v>
      </c>
      <c r="G40" s="11">
        <v>3.9198012633041828E-3</v>
      </c>
      <c r="H40" s="8"/>
      <c r="I40" s="12">
        <v>-384</v>
      </c>
      <c r="J40" s="11">
        <v>0</v>
      </c>
      <c r="K40" s="11">
        <v>8.7913886967299668E-2</v>
      </c>
      <c r="L40" s="11">
        <v>0.1096669674801232</v>
      </c>
      <c r="M40" s="11">
        <v>6.2182522318588132E-2</v>
      </c>
      <c r="N40" s="11">
        <v>1.2704918906661899E-2</v>
      </c>
      <c r="O40" s="11">
        <v>1.2704918906661899E-2</v>
      </c>
      <c r="P40" s="11">
        <v>0</v>
      </c>
      <c r="Q40" s="13">
        <v>128</v>
      </c>
    </row>
    <row r="41" spans="1:17" x14ac:dyDescent="0.35">
      <c r="A41" s="5">
        <v>26</v>
      </c>
      <c r="B41" s="6" t="s">
        <v>41</v>
      </c>
      <c r="C41" s="11">
        <v>4.2848775007477143E-2</v>
      </c>
      <c r="D41" s="11">
        <v>0</v>
      </c>
      <c r="E41" s="11">
        <v>4.2848775007477143E-2</v>
      </c>
      <c r="F41" s="11">
        <v>2.9154412035682298E-2</v>
      </c>
      <c r="G41" s="11">
        <v>1.468595517568758E-2</v>
      </c>
      <c r="H41" s="8"/>
      <c r="I41" s="12">
        <v>-145</v>
      </c>
      <c r="J41" s="11">
        <v>0</v>
      </c>
      <c r="K41" s="11">
        <v>3.6924946062652522E-2</v>
      </c>
      <c r="L41" s="11">
        <v>5.8418873780187792E-2</v>
      </c>
      <c r="M41" s="11">
        <v>1.316614129983849E-2</v>
      </c>
      <c r="N41" s="11">
        <v>1.069435337545499E-2</v>
      </c>
      <c r="O41" s="11">
        <v>1.069435337545499E-2</v>
      </c>
      <c r="P41" s="11">
        <v>0</v>
      </c>
      <c r="Q41" s="13">
        <v>107</v>
      </c>
    </row>
    <row r="42" spans="1:17" x14ac:dyDescent="0.35">
      <c r="A42" s="5"/>
      <c r="B42" s="6" t="s">
        <v>42</v>
      </c>
      <c r="C42" s="7">
        <v>1233</v>
      </c>
      <c r="D42" s="7">
        <v>1379</v>
      </c>
      <c r="E42" s="7">
        <v>1233</v>
      </c>
      <c r="F42" s="7">
        <v>1119</v>
      </c>
      <c r="G42" s="7">
        <v>1548</v>
      </c>
      <c r="H42" s="8"/>
      <c r="I42" s="9">
        <v>0.38337801608579092</v>
      </c>
      <c r="J42" s="7">
        <v>364</v>
      </c>
      <c r="K42" s="7">
        <v>5261</v>
      </c>
      <c r="L42" s="7">
        <v>5654</v>
      </c>
      <c r="M42" s="7">
        <v>6317</v>
      </c>
      <c r="N42" s="7">
        <v>2136</v>
      </c>
      <c r="O42" s="7">
        <v>2136</v>
      </c>
      <c r="P42" s="7">
        <v>742</v>
      </c>
      <c r="Q42" s="10">
        <v>1.8787061994609164</v>
      </c>
    </row>
    <row r="43" spans="1:17" x14ac:dyDescent="0.35">
      <c r="A43" s="5"/>
      <c r="B43" s="6" t="s">
        <v>43</v>
      </c>
      <c r="C43" s="7">
        <v>1236</v>
      </c>
      <c r="D43" s="7">
        <v>1391</v>
      </c>
      <c r="E43" s="7">
        <v>1236</v>
      </c>
      <c r="F43" s="7">
        <v>1125</v>
      </c>
      <c r="G43" s="7">
        <v>1552</v>
      </c>
      <c r="H43" s="8"/>
      <c r="I43" s="9">
        <v>0.37955555555555565</v>
      </c>
      <c r="J43" s="7">
        <v>364</v>
      </c>
      <c r="K43" s="7">
        <v>5388</v>
      </c>
      <c r="L43" s="7">
        <v>5721</v>
      </c>
      <c r="M43" s="7">
        <v>6352</v>
      </c>
      <c r="N43" s="7">
        <v>2140</v>
      </c>
      <c r="O43" s="7">
        <v>2140</v>
      </c>
      <c r="P43" s="7">
        <v>742</v>
      </c>
      <c r="Q43" s="10">
        <v>1.8840970350404311</v>
      </c>
    </row>
    <row r="44" spans="1:17" x14ac:dyDescent="0.35">
      <c r="A44" s="5"/>
      <c r="B44" s="6" t="s">
        <v>44</v>
      </c>
      <c r="C44" s="7">
        <v>1414</v>
      </c>
      <c r="D44" s="7">
        <v>1581</v>
      </c>
      <c r="E44" s="7">
        <v>1414</v>
      </c>
      <c r="F44" s="7">
        <v>1513</v>
      </c>
      <c r="G44" s="7">
        <v>1959</v>
      </c>
      <c r="H44" s="8"/>
      <c r="I44" s="9">
        <v>0.29477858559153991</v>
      </c>
      <c r="J44" s="7">
        <v>733</v>
      </c>
      <c r="K44" s="7">
        <v>7518</v>
      </c>
      <c r="L44" s="7">
        <v>7502</v>
      </c>
      <c r="M44" s="7">
        <v>7698</v>
      </c>
      <c r="N44" s="7">
        <v>2818</v>
      </c>
      <c r="O44" s="7">
        <v>2818</v>
      </c>
      <c r="P44" s="7">
        <v>1167</v>
      </c>
      <c r="Q44" s="10">
        <v>1.4147386461011138</v>
      </c>
    </row>
    <row r="45" spans="1:17" x14ac:dyDescent="0.35">
      <c r="A45" s="5">
        <v>27</v>
      </c>
      <c r="B45" s="6" t="s">
        <v>45</v>
      </c>
      <c r="C45" s="11">
        <v>0.87199434229137196</v>
      </c>
      <c r="D45" s="11">
        <v>0.87223276407337125</v>
      </c>
      <c r="E45" s="11">
        <v>0.87199434229137196</v>
      </c>
      <c r="F45" s="11">
        <v>0.73959021810971581</v>
      </c>
      <c r="G45" s="11">
        <v>0.79019908116385906</v>
      </c>
      <c r="H45" s="8"/>
      <c r="I45" s="12">
        <v>507</v>
      </c>
      <c r="J45" s="11">
        <v>0.49658935879945432</v>
      </c>
      <c r="K45" s="11">
        <v>0.69978717744080876</v>
      </c>
      <c r="L45" s="11">
        <v>0.75366568914956011</v>
      </c>
      <c r="M45" s="11">
        <v>0.82060275396206805</v>
      </c>
      <c r="N45" s="11">
        <v>0.75798438608942509</v>
      </c>
      <c r="O45" s="11">
        <v>0.75798438608942509</v>
      </c>
      <c r="P45" s="11">
        <v>0.63581833761782347</v>
      </c>
      <c r="Q45" s="13">
        <v>1222</v>
      </c>
    </row>
    <row r="46" spans="1:17" x14ac:dyDescent="0.35">
      <c r="A46" s="5">
        <v>28</v>
      </c>
      <c r="B46" s="6" t="s">
        <v>46</v>
      </c>
      <c r="C46" s="11">
        <v>0.8741159830268741</v>
      </c>
      <c r="D46" s="11">
        <v>0.87982289690069582</v>
      </c>
      <c r="E46" s="11">
        <v>0.8741159830268741</v>
      </c>
      <c r="F46" s="11">
        <v>0.74355584930601459</v>
      </c>
      <c r="G46" s="11">
        <v>0.79224093925472183</v>
      </c>
      <c r="H46" s="8"/>
      <c r="I46" s="12">
        <v>487</v>
      </c>
      <c r="J46" s="11">
        <v>0.49658935879945432</v>
      </c>
      <c r="K46" s="11">
        <v>0.71667996807661616</v>
      </c>
      <c r="L46" s="11">
        <v>0.76259664089576118</v>
      </c>
      <c r="M46" s="11">
        <v>0.82514938945180571</v>
      </c>
      <c r="N46" s="22">
        <v>0.75940383250532295</v>
      </c>
      <c r="O46" s="22">
        <v>0.75940383250532295</v>
      </c>
      <c r="P46" s="22">
        <v>0.63581833761782347</v>
      </c>
      <c r="Q46" s="23">
        <v>1236</v>
      </c>
    </row>
    <row r="47" spans="1:17" x14ac:dyDescent="0.35">
      <c r="A47" s="5">
        <v>29</v>
      </c>
      <c r="B47" s="6" t="s">
        <v>47</v>
      </c>
      <c r="C47" s="7">
        <v>109</v>
      </c>
      <c r="D47" s="7">
        <v>108</v>
      </c>
      <c r="E47" s="7">
        <v>109</v>
      </c>
      <c r="F47" s="7">
        <v>103</v>
      </c>
      <c r="G47" s="7">
        <v>105</v>
      </c>
      <c r="H47" s="8"/>
      <c r="I47" s="14">
        <v>2</v>
      </c>
      <c r="J47" s="7">
        <v>97</v>
      </c>
      <c r="K47" s="7">
        <v>0</v>
      </c>
      <c r="L47" s="7">
        <v>0</v>
      </c>
      <c r="M47" s="15">
        <v>0</v>
      </c>
      <c r="N47" s="16"/>
      <c r="O47" s="16"/>
      <c r="P47" s="16"/>
      <c r="Q47" s="17"/>
    </row>
    <row r="48" spans="1:17" x14ac:dyDescent="0.35">
      <c r="A48" s="5">
        <v>30</v>
      </c>
      <c r="B48" s="6" t="s">
        <v>48</v>
      </c>
      <c r="C48" s="7">
        <v>52</v>
      </c>
      <c r="D48" s="7">
        <v>54</v>
      </c>
      <c r="E48" s="7">
        <v>52</v>
      </c>
      <c r="F48" s="7">
        <v>57</v>
      </c>
      <c r="G48" s="7">
        <v>57</v>
      </c>
      <c r="H48" s="8"/>
      <c r="I48" s="14">
        <v>0</v>
      </c>
      <c r="J48" s="7">
        <v>51</v>
      </c>
      <c r="K48" s="7">
        <v>0</v>
      </c>
      <c r="L48" s="7">
        <v>0</v>
      </c>
      <c r="M48" s="15">
        <v>0</v>
      </c>
      <c r="N48" s="16"/>
      <c r="O48" s="16"/>
      <c r="P48" s="16"/>
      <c r="Q48" s="17"/>
    </row>
    <row r="49" spans="1:17" x14ac:dyDescent="0.35">
      <c r="A49" s="5">
        <v>31</v>
      </c>
      <c r="B49" s="6" t="s">
        <v>49</v>
      </c>
      <c r="C49" s="7">
        <v>108</v>
      </c>
      <c r="D49" s="7">
        <v>107</v>
      </c>
      <c r="E49" s="7">
        <v>108</v>
      </c>
      <c r="F49" s="7">
        <v>108</v>
      </c>
      <c r="G49" s="7">
        <v>106</v>
      </c>
      <c r="H49" s="8"/>
      <c r="I49" s="14">
        <v>-2</v>
      </c>
      <c r="J49" s="7">
        <v>96</v>
      </c>
      <c r="K49" s="7">
        <v>0</v>
      </c>
      <c r="L49" s="7">
        <v>0</v>
      </c>
      <c r="M49" s="15">
        <v>0</v>
      </c>
      <c r="N49" s="16"/>
      <c r="O49" s="16"/>
      <c r="P49" s="16"/>
      <c r="Q49" s="17"/>
    </row>
    <row r="50" spans="1:17" x14ac:dyDescent="0.35">
      <c r="A50" s="5"/>
      <c r="B50" s="6" t="s">
        <v>50</v>
      </c>
      <c r="C50" s="7">
        <v>14</v>
      </c>
      <c r="D50" s="7">
        <v>14</v>
      </c>
      <c r="E50" s="7">
        <v>14</v>
      </c>
      <c r="F50" s="7">
        <v>13</v>
      </c>
      <c r="G50" s="7">
        <v>13</v>
      </c>
      <c r="H50" s="8"/>
      <c r="I50" s="14">
        <v>0</v>
      </c>
      <c r="J50" s="7">
        <v>0</v>
      </c>
      <c r="K50" s="7">
        <v>0</v>
      </c>
      <c r="L50" s="7">
        <v>0</v>
      </c>
      <c r="M50" s="15">
        <v>0</v>
      </c>
      <c r="N50" s="16"/>
      <c r="O50" s="16"/>
      <c r="P50" s="16"/>
      <c r="Q50" s="17"/>
    </row>
    <row r="51" spans="1:17" x14ac:dyDescent="0.35">
      <c r="A51" s="5"/>
      <c r="B51" s="6" t="s">
        <v>51</v>
      </c>
      <c r="C51" s="7">
        <v>56</v>
      </c>
      <c r="D51" s="7">
        <v>56</v>
      </c>
      <c r="E51" s="7">
        <v>56</v>
      </c>
      <c r="F51" s="7">
        <v>59</v>
      </c>
      <c r="G51" s="7">
        <v>59</v>
      </c>
      <c r="H51" s="8"/>
      <c r="I51" s="14">
        <v>0</v>
      </c>
      <c r="J51" s="7">
        <v>51</v>
      </c>
      <c r="K51" s="7">
        <v>0</v>
      </c>
      <c r="L51" s="7">
        <v>0</v>
      </c>
      <c r="M51" s="15">
        <v>0</v>
      </c>
      <c r="N51" s="16"/>
      <c r="O51" s="16"/>
      <c r="P51" s="16"/>
      <c r="Q51" s="17"/>
    </row>
    <row r="52" spans="1:17" x14ac:dyDescent="0.35">
      <c r="A52" s="5"/>
      <c r="B52" s="6" t="s">
        <v>52</v>
      </c>
      <c r="C52" s="7">
        <v>94</v>
      </c>
      <c r="D52" s="7">
        <v>86</v>
      </c>
      <c r="E52" s="7">
        <v>94</v>
      </c>
      <c r="F52" s="7">
        <v>95</v>
      </c>
      <c r="G52" s="7">
        <v>87</v>
      </c>
      <c r="H52" s="8"/>
      <c r="I52" s="14">
        <v>-8</v>
      </c>
      <c r="J52" s="24">
        <v>92</v>
      </c>
      <c r="K52" s="24">
        <v>0</v>
      </c>
      <c r="L52" s="24">
        <v>0</v>
      </c>
      <c r="M52" s="25">
        <v>0</v>
      </c>
      <c r="N52" s="16"/>
      <c r="O52" s="16"/>
      <c r="P52" s="16"/>
      <c r="Q52" s="17"/>
    </row>
    <row r="53" spans="1:17" x14ac:dyDescent="0.35">
      <c r="A53" s="5">
        <v>32</v>
      </c>
      <c r="B53" s="6" t="s">
        <v>53</v>
      </c>
      <c r="C53" s="7">
        <v>14</v>
      </c>
      <c r="D53" s="7">
        <v>14</v>
      </c>
      <c r="E53" s="7">
        <v>14</v>
      </c>
      <c r="F53" s="7">
        <v>14</v>
      </c>
      <c r="G53" s="7">
        <v>15</v>
      </c>
      <c r="H53" s="8"/>
      <c r="I53" s="10">
        <v>7.1428571428571397E-2</v>
      </c>
      <c r="J53" s="16"/>
      <c r="K53" s="16"/>
      <c r="L53" s="16"/>
      <c r="M53" s="16"/>
      <c r="N53" s="16"/>
      <c r="O53" s="16"/>
      <c r="P53" s="16"/>
      <c r="Q53" s="26"/>
    </row>
    <row r="54" spans="1:17" x14ac:dyDescent="0.35">
      <c r="A54" s="5"/>
      <c r="B54" s="6" t="s">
        <v>54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8"/>
      <c r="I54" s="9" t="e">
        <v>#DIV/0!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1" t="e">
        <v>#DIV/0!</v>
      </c>
    </row>
    <row r="55" spans="1:17" x14ac:dyDescent="0.35">
      <c r="A55" s="5"/>
      <c r="B55" s="6" t="s">
        <v>26</v>
      </c>
      <c r="C55" s="7">
        <v>274</v>
      </c>
      <c r="D55" s="7">
        <v>308</v>
      </c>
      <c r="E55" s="7">
        <v>274</v>
      </c>
      <c r="F55" s="7">
        <v>232</v>
      </c>
      <c r="G55" s="7">
        <v>0</v>
      </c>
      <c r="H55" s="8"/>
      <c r="I55" s="9">
        <v>-1</v>
      </c>
      <c r="J55" s="7">
        <v>206</v>
      </c>
      <c r="K55" s="7">
        <v>1373</v>
      </c>
      <c r="L55" s="7">
        <v>1314</v>
      </c>
      <c r="M55" s="7">
        <v>1358</v>
      </c>
      <c r="N55" s="7">
        <v>218</v>
      </c>
      <c r="O55" s="7">
        <v>218</v>
      </c>
      <c r="P55" s="7">
        <v>60</v>
      </c>
      <c r="Q55" s="10">
        <v>2.6333333333333333</v>
      </c>
    </row>
    <row r="56" spans="1:17" x14ac:dyDescent="0.35">
      <c r="A56" s="5">
        <v>33</v>
      </c>
      <c r="B56" s="6" t="s">
        <v>55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8"/>
      <c r="I56" s="12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3">
        <v>0</v>
      </c>
    </row>
    <row r="57" spans="1:17" x14ac:dyDescent="0.35">
      <c r="A57" s="5"/>
      <c r="B57" s="6" t="s">
        <v>56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8"/>
      <c r="I57" s="9" t="e">
        <v>#DIV/0!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10" t="e">
        <v>#DIV/0!</v>
      </c>
    </row>
    <row r="58" spans="1:17" x14ac:dyDescent="0.35">
      <c r="A58" s="5"/>
      <c r="B58" s="6" t="s">
        <v>26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8"/>
      <c r="I58" s="9" t="e">
        <v>#DIV/0!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10" t="e">
        <v>#DIV/0!</v>
      </c>
    </row>
    <row r="59" spans="1:17" x14ac:dyDescent="0.35">
      <c r="A59" s="5">
        <v>34</v>
      </c>
      <c r="B59" s="6" t="s">
        <v>57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8"/>
      <c r="I59" s="12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3">
        <v>0</v>
      </c>
    </row>
    <row r="60" spans="1:17" x14ac:dyDescent="0.35">
      <c r="A60" s="5"/>
      <c r="B60" s="6" t="s">
        <v>58</v>
      </c>
      <c r="C60" s="7">
        <v>18375</v>
      </c>
      <c r="D60" s="7">
        <v>25174</v>
      </c>
      <c r="E60" s="7">
        <v>18375</v>
      </c>
      <c r="F60" s="7">
        <v>14288</v>
      </c>
      <c r="G60" s="7">
        <v>27088</v>
      </c>
      <c r="H60" s="8"/>
      <c r="I60" s="9">
        <v>0.89585666293393063</v>
      </c>
      <c r="J60" s="7">
        <v>6286</v>
      </c>
      <c r="K60" s="7">
        <v>81149</v>
      </c>
      <c r="L60" s="7">
        <v>94971</v>
      </c>
      <c r="M60" s="7">
        <v>99933</v>
      </c>
      <c r="N60" s="7">
        <v>37710</v>
      </c>
      <c r="O60" s="7">
        <v>37710</v>
      </c>
      <c r="P60" s="7">
        <v>10748</v>
      </c>
      <c r="Q60" s="10">
        <v>2.508559732043171</v>
      </c>
    </row>
    <row r="61" spans="1:17" x14ac:dyDescent="0.35">
      <c r="A61" s="5">
        <v>35</v>
      </c>
      <c r="B61" s="6" t="s">
        <v>59</v>
      </c>
      <c r="C61" s="7">
        <v>137779.29579999999</v>
      </c>
      <c r="D61" s="7">
        <v>192747.71189999999</v>
      </c>
      <c r="E61" s="7">
        <v>137779.29579999999</v>
      </c>
      <c r="F61" s="7">
        <v>107754.9485</v>
      </c>
      <c r="G61" s="7">
        <v>206698.71979999999</v>
      </c>
      <c r="H61" s="8"/>
      <c r="I61" s="9">
        <v>0.91822948901506818</v>
      </c>
      <c r="J61" s="7">
        <v>64488.32</v>
      </c>
      <c r="K61" s="7">
        <v>675751.41989999998</v>
      </c>
      <c r="L61" s="7">
        <v>735696.64549999998</v>
      </c>
      <c r="M61" s="7">
        <v>762239.85820000002</v>
      </c>
      <c r="N61" s="7">
        <v>288322.44410000002</v>
      </c>
      <c r="O61" s="7">
        <v>288322.44410000002</v>
      </c>
      <c r="P61" s="7">
        <v>112751.34</v>
      </c>
      <c r="Q61" s="10">
        <v>1.5571531486898516</v>
      </c>
    </row>
    <row r="62" spans="1:17" x14ac:dyDescent="0.35">
      <c r="A62" s="5"/>
      <c r="B62" s="6" t="s">
        <v>60</v>
      </c>
      <c r="C62" s="7">
        <v>335671.06</v>
      </c>
      <c r="D62" s="7">
        <v>428080.33</v>
      </c>
      <c r="E62" s="7">
        <v>335671.06</v>
      </c>
      <c r="F62" s="7">
        <v>286424.95</v>
      </c>
      <c r="G62" s="7">
        <v>475366.43</v>
      </c>
      <c r="H62" s="8"/>
      <c r="I62" s="9">
        <v>0.65965440510681761</v>
      </c>
      <c r="J62" s="7">
        <v>68161.06</v>
      </c>
      <c r="K62" s="7">
        <v>1043631.47</v>
      </c>
      <c r="L62" s="7">
        <v>1583173.42</v>
      </c>
      <c r="M62" s="7">
        <v>1904017.72</v>
      </c>
      <c r="N62" s="7">
        <v>662381.94999999995</v>
      </c>
      <c r="O62" s="7">
        <v>662381.94999999995</v>
      </c>
      <c r="P62" s="7">
        <v>135938.64000000001</v>
      </c>
      <c r="Q62" s="10">
        <v>3.8726539415136116</v>
      </c>
    </row>
    <row r="63" spans="1:17" x14ac:dyDescent="0.35">
      <c r="A63" s="5"/>
      <c r="B63" s="6" t="s">
        <v>61</v>
      </c>
      <c r="C63" s="11">
        <v>0.41045926270796168</v>
      </c>
      <c r="D63" s="11">
        <v>0.45026061323583821</v>
      </c>
      <c r="E63" s="11">
        <v>0.41045926270796168</v>
      </c>
      <c r="F63" s="11">
        <v>0.37620657173894939</v>
      </c>
      <c r="G63" s="11">
        <v>0.43481976588039672</v>
      </c>
      <c r="H63" s="8"/>
      <c r="I63" s="12">
        <v>587</v>
      </c>
      <c r="J63" s="11">
        <v>0.94611674172907523</v>
      </c>
      <c r="K63" s="11">
        <v>0.64750004127414829</v>
      </c>
      <c r="L63" s="11">
        <v>0.46469744641114552</v>
      </c>
      <c r="M63" s="11">
        <v>0.40033233419697378</v>
      </c>
      <c r="N63" s="11">
        <v>0.43528125139883411</v>
      </c>
      <c r="O63" s="11">
        <v>0.43528125139883411</v>
      </c>
      <c r="P63" s="11">
        <v>0.82942818907118676</v>
      </c>
      <c r="Q63" s="13">
        <v>-3942</v>
      </c>
    </row>
    <row r="64" spans="1:17" x14ac:dyDescent="0.35">
      <c r="A64" s="5">
        <v>36</v>
      </c>
      <c r="B64" s="6" t="s">
        <v>62</v>
      </c>
      <c r="C64" s="11">
        <v>0.1808336671537091</v>
      </c>
      <c r="D64" s="11">
        <v>0.24762186965788019</v>
      </c>
      <c r="E64" s="11">
        <v>0.1808336671537091</v>
      </c>
      <c r="F64" s="11">
        <v>0.1673028102041364</v>
      </c>
      <c r="G64" s="11">
        <v>0.19021956166773249</v>
      </c>
      <c r="H64" s="8"/>
      <c r="I64" s="12">
        <v>230</v>
      </c>
      <c r="J64" s="11">
        <v>0.20647746511427681</v>
      </c>
      <c r="K64" s="11">
        <v>0.17740804275249969</v>
      </c>
      <c r="L64" s="11">
        <v>0.19005898360327039</v>
      </c>
      <c r="M64" s="11">
        <v>0.19958344389774829</v>
      </c>
      <c r="N64" s="11">
        <v>0.20058820859530299</v>
      </c>
      <c r="O64" s="11">
        <v>0.20058820859530299</v>
      </c>
      <c r="P64" s="11">
        <v>0.23053989368260311</v>
      </c>
      <c r="Q64" s="13">
        <v>-300</v>
      </c>
    </row>
    <row r="65" spans="1:17" x14ac:dyDescent="0.35">
      <c r="A65" s="5"/>
      <c r="B65" s="6" t="s">
        <v>63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8"/>
      <c r="I65" s="9" t="e">
        <v>#DIV/0!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10" t="e">
        <v>#DIV/0!</v>
      </c>
    </row>
    <row r="66" spans="1:17" x14ac:dyDescent="0.35">
      <c r="A66" s="5"/>
      <c r="B66" s="6" t="s">
        <v>6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8"/>
      <c r="I66" s="9" t="e">
        <v>#DIV/0!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10" t="e">
        <v>#DIV/0!</v>
      </c>
    </row>
    <row r="67" spans="1:17" x14ac:dyDescent="0.35">
      <c r="A67" s="5"/>
      <c r="B67" s="6" t="s">
        <v>64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8"/>
      <c r="I67" s="12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13">
        <v>0</v>
      </c>
    </row>
    <row r="68" spans="1:17" x14ac:dyDescent="0.35">
      <c r="A68" s="5"/>
      <c r="B68" s="6" t="s">
        <v>65</v>
      </c>
      <c r="C68" s="7">
        <v>4809.7890040962793</v>
      </c>
      <c r="D68" s="7">
        <v>3353.2952629928991</v>
      </c>
      <c r="E68" s="7">
        <v>4809.7890040962793</v>
      </c>
      <c r="F68" s="7">
        <v>3217.5085123957829</v>
      </c>
      <c r="G68" s="7">
        <v>442.49743568779422</v>
      </c>
      <c r="H68" s="8"/>
      <c r="I68" s="10">
        <v>-0.8624720233115073</v>
      </c>
      <c r="J68" s="7">
        <v>4083.4682018868521</v>
      </c>
      <c r="K68" s="7">
        <v>0</v>
      </c>
      <c r="L68" s="7">
        <v>42541.09384811479</v>
      </c>
      <c r="M68" s="7">
        <v>15679.01518725558</v>
      </c>
      <c r="N68" s="7">
        <v>684.27599125096538</v>
      </c>
      <c r="O68" s="7">
        <v>684.27599125096538</v>
      </c>
      <c r="P68" s="7">
        <v>66797.874717299099</v>
      </c>
      <c r="Q68" s="10">
        <v>-0.98975602151794573</v>
      </c>
    </row>
    <row r="69" spans="1:17" x14ac:dyDescent="0.35">
      <c r="A69" s="5"/>
      <c r="B69" s="6" t="s">
        <v>66</v>
      </c>
      <c r="C69" s="7">
        <v>10708.305022803141</v>
      </c>
      <c r="D69" s="7">
        <v>12057.65186485851</v>
      </c>
      <c r="E69" s="7">
        <v>10708.305022803141</v>
      </c>
      <c r="F69" s="7">
        <v>9964.3434030445751</v>
      </c>
      <c r="G69" s="7">
        <v>5509.3890455935934</v>
      </c>
      <c r="H69" s="8"/>
      <c r="I69" s="10">
        <v>-0.44708960513040763</v>
      </c>
      <c r="J69" s="7">
        <v>1153.839267653158</v>
      </c>
      <c r="K69" s="7">
        <v>0</v>
      </c>
      <c r="L69" s="7">
        <v>36294.448564390193</v>
      </c>
      <c r="M69" s="7">
        <v>46572.100742667877</v>
      </c>
      <c r="N69" s="7">
        <v>9102.363002911914</v>
      </c>
      <c r="O69" s="7">
        <v>9102.363002911914</v>
      </c>
      <c r="P69" s="7">
        <v>34584.824392800067</v>
      </c>
      <c r="Q69" s="10">
        <v>-0.73681048949299099</v>
      </c>
    </row>
    <row r="70" spans="1:17" x14ac:dyDescent="0.35">
      <c r="A70" s="5"/>
      <c r="B70" s="6" t="s">
        <v>67</v>
      </c>
      <c r="C70" s="7">
        <v>5541.8185269862142</v>
      </c>
      <c r="D70" s="7">
        <v>5934.5718357752367</v>
      </c>
      <c r="E70" s="7">
        <v>5541.8185269862142</v>
      </c>
      <c r="F70" s="7">
        <v>15423.078419444269</v>
      </c>
      <c r="G70" s="7">
        <v>4255.1140125798038</v>
      </c>
      <c r="H70" s="8"/>
      <c r="I70" s="10">
        <v>-0.724107347647583</v>
      </c>
      <c r="J70" s="7">
        <v>4912.6976835738242</v>
      </c>
      <c r="K70" s="7">
        <v>37678.917586659969</v>
      </c>
      <c r="L70" s="7">
        <v>43408.458851725351</v>
      </c>
      <c r="M70" s="7">
        <v>28158.674583473901</v>
      </c>
      <c r="N70" s="7">
        <v>10125.373099021999</v>
      </c>
      <c r="O70" s="7">
        <v>10125.373099021999</v>
      </c>
      <c r="P70" s="7">
        <v>42837.175139269923</v>
      </c>
      <c r="Q70" s="10">
        <v>-0.76363116694546429</v>
      </c>
    </row>
    <row r="71" spans="1:17" x14ac:dyDescent="0.35">
      <c r="A71" s="5"/>
      <c r="B71" s="6" t="s">
        <v>68</v>
      </c>
      <c r="C71" s="7">
        <v>58233.094026899424</v>
      </c>
      <c r="D71" s="7">
        <v>69865.94712785141</v>
      </c>
      <c r="E71" s="7">
        <v>58233.094026899424</v>
      </c>
      <c r="F71" s="7">
        <v>61714.851915440348</v>
      </c>
      <c r="G71" s="7">
        <v>74453.886481281384</v>
      </c>
      <c r="H71" s="8"/>
      <c r="I71" s="10">
        <v>0.20641764778591121</v>
      </c>
      <c r="J71" s="7">
        <v>25360.30746954001</v>
      </c>
      <c r="K71" s="7">
        <v>0</v>
      </c>
      <c r="L71" s="7">
        <v>333503.54241250502</v>
      </c>
      <c r="M71" s="7">
        <v>304223.11592992349</v>
      </c>
      <c r="N71" s="7">
        <v>109493.6389941629</v>
      </c>
      <c r="O71" s="7">
        <v>109493.6389941629</v>
      </c>
      <c r="P71" s="7">
        <v>442150.69911009917</v>
      </c>
      <c r="Q71" s="10">
        <v>-0.75236126683834992</v>
      </c>
    </row>
    <row r="72" spans="1:17" x14ac:dyDescent="0.35">
      <c r="A72" s="5">
        <v>37</v>
      </c>
      <c r="B72" s="6" t="s">
        <v>69</v>
      </c>
      <c r="C72" s="11">
        <v>8.259545683549821E-2</v>
      </c>
      <c r="D72" s="11">
        <v>4.799613260601085E-2</v>
      </c>
      <c r="E72" s="11">
        <v>8.259545683549821E-2</v>
      </c>
      <c r="F72" s="11">
        <v>5.2135076282842037E-2</v>
      </c>
      <c r="G72" s="11">
        <v>5.9432416036339954E-3</v>
      </c>
      <c r="H72" s="8"/>
      <c r="I72" s="13">
        <v>-462</v>
      </c>
      <c r="J72" s="11">
        <v>0.1610180872921774</v>
      </c>
      <c r="K72" s="11">
        <v>0</v>
      </c>
      <c r="L72" s="11">
        <v>0.12755814688018041</v>
      </c>
      <c r="M72" s="11">
        <v>5.1537882449626787E-2</v>
      </c>
      <c r="N72" s="11">
        <v>6.2494588501843858E-3</v>
      </c>
      <c r="O72" s="11">
        <v>6.2494588501843858E-3</v>
      </c>
      <c r="P72" s="11">
        <v>0.15107490466879461</v>
      </c>
      <c r="Q72" s="13">
        <v>-1449</v>
      </c>
    </row>
    <row r="73" spans="1:17" x14ac:dyDescent="0.35">
      <c r="A73" s="5">
        <v>38</v>
      </c>
      <c r="B73" s="6" t="s">
        <v>70</v>
      </c>
      <c r="C73" s="11">
        <v>0.18388693236627071</v>
      </c>
      <c r="D73" s="11">
        <v>0.17258267239680539</v>
      </c>
      <c r="E73" s="11">
        <v>0.18388693236627071</v>
      </c>
      <c r="F73" s="11">
        <v>0.1614577868014232</v>
      </c>
      <c r="G73" s="11">
        <v>7.3997333194671042E-2</v>
      </c>
      <c r="H73" s="8"/>
      <c r="I73" s="13">
        <v>-875</v>
      </c>
      <c r="J73" s="11">
        <v>4.5497842210273733E-2</v>
      </c>
      <c r="K73" s="11">
        <v>0</v>
      </c>
      <c r="L73" s="11">
        <v>0.1088277752669211</v>
      </c>
      <c r="M73" s="11">
        <v>0.15308534527466869</v>
      </c>
      <c r="N73" s="11">
        <v>8.3131431985717111E-2</v>
      </c>
      <c r="O73" s="11">
        <v>8.3131431985717111E-2</v>
      </c>
      <c r="P73" s="11">
        <v>7.8219540221032557E-2</v>
      </c>
      <c r="Q73" s="13">
        <v>50</v>
      </c>
    </row>
    <row r="74" spans="1:17" x14ac:dyDescent="0.35">
      <c r="A74" s="5">
        <v>39</v>
      </c>
      <c r="B74" s="6" t="s">
        <v>71</v>
      </c>
      <c r="C74" s="11">
        <v>0.10838933279988069</v>
      </c>
      <c r="D74" s="11">
        <v>9.4533312809548409E-2</v>
      </c>
      <c r="E74" s="11">
        <v>0.10838933279988069</v>
      </c>
      <c r="F74" s="11">
        <v>0.24184309118660649</v>
      </c>
      <c r="G74" s="11">
        <v>5.8059291204549543E-2</v>
      </c>
      <c r="H74" s="8"/>
      <c r="I74" s="13">
        <v>-1838</v>
      </c>
      <c r="J74" s="11">
        <v>0.17637506299463401</v>
      </c>
      <c r="K74" s="11">
        <v>0.12849133707789909</v>
      </c>
      <c r="L74" s="11">
        <v>0.14107742196126929</v>
      </c>
      <c r="M74" s="11">
        <v>0.1015808071266654</v>
      </c>
      <c r="N74" s="11">
        <v>9.1610471013561179E-2</v>
      </c>
      <c r="O74" s="11">
        <v>9.1610471013561179E-2</v>
      </c>
      <c r="P74" s="11">
        <v>9.8373102931815143E-2</v>
      </c>
      <c r="Q74" s="13">
        <v>-68</v>
      </c>
    </row>
  </sheetData>
  <conditionalFormatting sqref="C6:G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G21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G22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G23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G26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:G29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2:G32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G36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0:G40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1:G4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G45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6:G46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6:G56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4:G64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G67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2:G7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G7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G7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5 Q2:Q5">
    <cfRule type="cellIs" dxfId="59" priority="3" operator="lessThan">
      <formula>-0.01</formula>
    </cfRule>
    <cfRule type="cellIs" dxfId="58" priority="4" operator="greaterThan">
      <formula>0.01</formula>
    </cfRule>
  </conditionalFormatting>
  <conditionalFormatting sqref="I6">
    <cfRule type="cellIs" dxfId="57" priority="50" operator="lessThan">
      <formula>-100</formula>
    </cfRule>
    <cfRule type="cellIs" dxfId="56" priority="51" operator="greaterThan">
      <formula>100</formula>
    </cfRule>
  </conditionalFormatting>
  <conditionalFormatting sqref="I7:I20">
    <cfRule type="cellIs" dxfId="54" priority="1" operator="lessThan">
      <formula>-0.01</formula>
    </cfRule>
    <cfRule type="cellIs" dxfId="55" priority="2" operator="greaterThan">
      <formula>0.01</formula>
    </cfRule>
  </conditionalFormatting>
  <conditionalFormatting sqref="I21:I23">
    <cfRule type="cellIs" dxfId="52" priority="60" operator="lessThan">
      <formula>-100</formula>
    </cfRule>
    <cfRule type="cellIs" dxfId="53" priority="61" operator="greaterThan">
      <formula>100</formula>
    </cfRule>
  </conditionalFormatting>
  <conditionalFormatting sqref="I26">
    <cfRule type="cellIs" dxfId="51" priority="58" operator="lessThan">
      <formula>-100</formula>
    </cfRule>
    <cfRule type="cellIs" dxfId="50" priority="59" operator="greaterThan">
      <formula>100</formula>
    </cfRule>
  </conditionalFormatting>
  <conditionalFormatting sqref="I29">
    <cfRule type="cellIs" dxfId="49" priority="56" operator="lessThan">
      <formula>-100</formula>
    </cfRule>
    <cfRule type="cellIs" dxfId="48" priority="57" operator="greaterThan">
      <formula>100</formula>
    </cfRule>
  </conditionalFormatting>
  <conditionalFormatting sqref="I32">
    <cfRule type="cellIs" dxfId="47" priority="54" operator="lessThan">
      <formula>-100</formula>
    </cfRule>
    <cfRule type="cellIs" dxfId="46" priority="55" operator="greaterThan">
      <formula>100</formula>
    </cfRule>
  </conditionalFormatting>
  <conditionalFormatting sqref="I36">
    <cfRule type="cellIs" dxfId="44" priority="52" operator="lessThan">
      <formula>-100</formula>
    </cfRule>
    <cfRule type="cellIs" dxfId="45" priority="53" operator="greaterThan">
      <formula>100</formula>
    </cfRule>
  </conditionalFormatting>
  <conditionalFormatting sqref="I40:I41">
    <cfRule type="cellIs" dxfId="42" priority="48" operator="lessThan">
      <formula>-100</formula>
    </cfRule>
    <cfRule type="cellIs" dxfId="43" priority="49" operator="greaterThan">
      <formula>100</formula>
    </cfRule>
  </conditionalFormatting>
  <conditionalFormatting sqref="I45:I46">
    <cfRule type="cellIs" dxfId="40" priority="46" operator="lessThan">
      <formula>-100</formula>
    </cfRule>
    <cfRule type="cellIs" dxfId="41" priority="47" operator="greaterThan">
      <formula>100</formula>
    </cfRule>
  </conditionalFormatting>
  <conditionalFormatting sqref="I56">
    <cfRule type="cellIs" dxfId="38" priority="44" operator="lessThan">
      <formula>-100</formula>
    </cfRule>
    <cfRule type="cellIs" dxfId="39" priority="45" operator="greaterThan">
      <formula>100</formula>
    </cfRule>
  </conditionalFormatting>
  <conditionalFormatting sqref="I59">
    <cfRule type="cellIs" dxfId="36" priority="42" operator="lessThan">
      <formula>-100</formula>
    </cfRule>
    <cfRule type="cellIs" dxfId="37" priority="43" operator="greaterThan">
      <formula>100</formula>
    </cfRule>
  </conditionalFormatting>
  <conditionalFormatting sqref="I63:I64">
    <cfRule type="cellIs" dxfId="34" priority="40" operator="lessThan">
      <formula>-100</formula>
    </cfRule>
    <cfRule type="cellIs" dxfId="35" priority="41" operator="greaterThan">
      <formula>100</formula>
    </cfRule>
  </conditionalFormatting>
  <conditionalFormatting sqref="I67">
    <cfRule type="cellIs" dxfId="32" priority="38" operator="lessThan">
      <formula>-100</formula>
    </cfRule>
    <cfRule type="cellIs" dxfId="33" priority="39" operator="greaterThan">
      <formula>100</formula>
    </cfRule>
  </conditionalFormatting>
  <conditionalFormatting sqref="I68:I74">
    <cfRule type="cellIs" dxfId="31" priority="5" operator="greaterThan">
      <formula>0</formula>
    </cfRule>
    <cfRule type="cellIs" dxfId="30" priority="6" operator="lessThan">
      <formula>0</formula>
    </cfRule>
  </conditionalFormatting>
  <conditionalFormatting sqref="Q6">
    <cfRule type="cellIs" dxfId="28" priority="24" operator="lessThan">
      <formula>-100</formula>
    </cfRule>
    <cfRule type="cellIs" dxfId="29" priority="25" operator="greaterThan">
      <formula>100</formula>
    </cfRule>
  </conditionalFormatting>
  <conditionalFormatting sqref="Q7 I24:I25 I27:I28 I30:I31 I33:I35 I37:I39 Q37:Q39 I42:I44 I47:I55 I57:I58 I60:I62 I65:I66">
    <cfRule type="cellIs" dxfId="27" priority="62" operator="lessThan">
      <formula>-0.01</formula>
    </cfRule>
    <cfRule type="cellIs" dxfId="26" priority="63" operator="greaterThan">
      <formula>0.01</formula>
    </cfRule>
  </conditionalFormatting>
  <conditionalFormatting sqref="Q18:Q20 Q24:Q25 Q27:Q28 Q30:Q31 Q33:Q35 Q42:Q44 Q54:Q55 Q57:Q58 Q60:Q62 Q65:Q66">
    <cfRule type="cellIs" dxfId="25" priority="36" operator="greaterThan">
      <formula>0</formula>
    </cfRule>
    <cfRule type="cellIs" dxfId="24" priority="37" operator="lessThan">
      <formula>0</formula>
    </cfRule>
  </conditionalFormatting>
  <conditionalFormatting sqref="Q21:Q23">
    <cfRule type="cellIs" dxfId="22" priority="34" operator="lessThan">
      <formula>-100</formula>
    </cfRule>
    <cfRule type="cellIs" dxfId="23" priority="35" operator="greaterThan">
      <formula>100</formula>
    </cfRule>
  </conditionalFormatting>
  <conditionalFormatting sqref="Q26">
    <cfRule type="cellIs" dxfId="21" priority="32" operator="lessThan">
      <formula>-100</formula>
    </cfRule>
    <cfRule type="cellIs" dxfId="20" priority="33" operator="greaterThan">
      <formula>100</formula>
    </cfRule>
  </conditionalFormatting>
  <conditionalFormatting sqref="Q29">
    <cfRule type="cellIs" dxfId="19" priority="30" operator="lessThan">
      <formula>-100</formula>
    </cfRule>
    <cfRule type="cellIs" dxfId="18" priority="31" operator="greaterThan">
      <formula>100</formula>
    </cfRule>
  </conditionalFormatting>
  <conditionalFormatting sqref="Q32">
    <cfRule type="cellIs" dxfId="17" priority="28" operator="lessThan">
      <formula>-100</formula>
    </cfRule>
    <cfRule type="cellIs" dxfId="16" priority="29" operator="greaterThan">
      <formula>100</formula>
    </cfRule>
  </conditionalFormatting>
  <conditionalFormatting sqref="Q36">
    <cfRule type="cellIs" dxfId="14" priority="26" operator="lessThan">
      <formula>-100</formula>
    </cfRule>
    <cfRule type="cellIs" dxfId="15" priority="27" operator="greaterThan">
      <formula>100</formula>
    </cfRule>
  </conditionalFormatting>
  <conditionalFormatting sqref="Q40:Q41">
    <cfRule type="cellIs" dxfId="12" priority="22" operator="lessThan">
      <formula>-100</formula>
    </cfRule>
    <cfRule type="cellIs" dxfId="13" priority="23" operator="greaterThan">
      <formula>100</formula>
    </cfRule>
  </conditionalFormatting>
  <conditionalFormatting sqref="Q45:Q46">
    <cfRule type="cellIs" dxfId="10" priority="20" operator="lessThan">
      <formula>-100</formula>
    </cfRule>
    <cfRule type="cellIs" dxfId="11" priority="21" operator="greaterThan">
      <formula>100</formula>
    </cfRule>
  </conditionalFormatting>
  <conditionalFormatting sqref="Q56">
    <cfRule type="cellIs" dxfId="8" priority="18" operator="lessThan">
      <formula>-100</formula>
    </cfRule>
    <cfRule type="cellIs" dxfId="9" priority="19" operator="greaterThan">
      <formula>100</formula>
    </cfRule>
  </conditionalFormatting>
  <conditionalFormatting sqref="Q59">
    <cfRule type="cellIs" dxfId="6" priority="16" operator="lessThan">
      <formula>-100</formula>
    </cfRule>
    <cfRule type="cellIs" dxfId="7" priority="17" operator="greaterThan">
      <formula>100</formula>
    </cfRule>
  </conditionalFormatting>
  <conditionalFormatting sqref="Q63:Q64">
    <cfRule type="cellIs" dxfId="4" priority="14" operator="lessThan">
      <formula>-100</formula>
    </cfRule>
    <cfRule type="cellIs" dxfId="5" priority="15" operator="greaterThan">
      <formula>100</formula>
    </cfRule>
  </conditionalFormatting>
  <conditionalFormatting sqref="Q67">
    <cfRule type="cellIs" dxfId="2" priority="12" operator="lessThan">
      <formula>-100</formula>
    </cfRule>
    <cfRule type="cellIs" dxfId="3" priority="13" operator="greaterThan">
      <formula>100</formula>
    </cfRule>
  </conditionalFormatting>
  <conditionalFormatting sqref="Q68:Q74">
    <cfRule type="cellIs" dxfId="0" priority="10" operator="greaterThan">
      <formula>0</formula>
    </cfRule>
    <cfRule type="cellIs" dxfId="1" priority="1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Aakanksha</dc:creator>
  <cp:lastModifiedBy>Talwar, Aakanksha</cp:lastModifiedBy>
  <dcterms:created xsi:type="dcterms:W3CDTF">2026-04-15T06:17:21Z</dcterms:created>
  <dcterms:modified xsi:type="dcterms:W3CDTF">2026-04-15T06:17:43Z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2026-04-15T06:17:43Z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35bdc92e-7c57-43f3-b5bc-e1276dac146a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