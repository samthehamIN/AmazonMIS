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nt\Documents\"/>
    </mc:Choice>
  </mc:AlternateContent>
  <xr:revisionPtr revIDLastSave="0" documentId="8_{F4432323-366A-4D74-AD61-FFFB77773281}" xr6:coauthVersionLast="47" xr6:coauthVersionMax="47" xr10:uidLastSave="{00000000-0000-0000-0000-000000000000}"/>
  <bookViews>
    <workbookView xWindow="-110" yWindow="-110" windowWidth="19420" windowHeight="10300" xr2:uid="{DA79D405-220E-4E29-BC7E-EB94ADA64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<sst xmlns="http://schemas.openxmlformats.org/spreadsheetml/2006/main" count="94" uniqueCount="90">
  <si>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AM Name  -- &gt;&gt;&gt;</t>
  </si>
  <si>
    <t>Aakanksha Talwar</t>
  </si>
  <si>
    <t>Seller Name  -- &gt;&gt;&gt;</t>
  </si>
  <si>
    <t>Parul Garg Beauty_x000D_</t>
  </si>
  <si>
    <t>Sr. No</t>
  </si>
  <si>
    <t>Metrics</t>
  </si>
  <si>
    <t>Trend</t>
  </si>
  <si>
    <t>GMS</t>
  </si>
  <si>
    <t>New Buyable GMS</t>
  </si>
  <si>
    <t>New Buyable FBA GMS</t>
  </si>
  <si>
    <t>OPS</t>
  </si>
  <si>
    <t>OPS to GMS conversion</t>
  </si>
  <si>
    <t>ASP</t>
  </si>
  <si>
    <t>Buyable offers</t>
  </si>
  <si>
    <t>New Buyable offers</t>
  </si>
  <si>
    <t>New Buyable FBA offers</t>
  </si>
  <si>
    <t>FC offers</t>
  </si>
  <si>
    <t>FTAC offers</t>
  </si>
  <si>
    <t>Flex offers</t>
  </si>
  <si>
    <t>FBA offers</t>
  </si>
  <si>
    <t>AWAS</t>
  </si>
  <si>
    <t>FC FTAC</t>
  </si>
  <si>
    <t>Flex FTAC</t>
  </si>
  <si>
    <t>FBA BB GV</t>
  </si>
  <si>
    <t>FC BB GV</t>
  </si>
  <si>
    <t>BB GV</t>
  </si>
  <si>
    <t>FBA BB GV%</t>
  </si>
  <si>
    <t>FC BB GV%</t>
  </si>
  <si>
    <t>Conversion %</t>
  </si>
  <si>
    <t>Comp GV</t>
  </si>
  <si>
    <t>Total GV</t>
  </si>
  <si>
    <t>ICPC%</t>
  </si>
  <si>
    <t>RIS Units</t>
  </si>
  <si>
    <t>Total Units</t>
  </si>
  <si>
    <t>RIS%</t>
  </si>
  <si>
    <t>IXD IB</t>
  </si>
  <si>
    <t>FC IB</t>
  </si>
  <si>
    <t>IXD IB%</t>
  </si>
  <si>
    <t>BxGy Eligible Units</t>
  </si>
  <si>
    <t>BxGy Promo Units</t>
  </si>
  <si>
    <t>BxGy Units coverage</t>
  </si>
  <si>
    <t>BxGy Units share</t>
  </si>
  <si>
    <t>Deal OPS</t>
  </si>
  <si>
    <t>Coupon OPS</t>
  </si>
  <si>
    <t>Deal OPS%</t>
  </si>
  <si>
    <t>Coupon OPS%</t>
  </si>
  <si>
    <t>FC units</t>
  </si>
  <si>
    <t>FBA units</t>
  </si>
  <si>
    <t>Total units</t>
  </si>
  <si>
    <t>FC units%</t>
  </si>
  <si>
    <t>FBA units%</t>
  </si>
  <si>
    <t>Buyable offers T7D</t>
  </si>
  <si>
    <t>FC offers T7D</t>
  </si>
  <si>
    <t>FTAC offers T7D</t>
  </si>
  <si>
    <t>Flex offers T7D</t>
  </si>
  <si>
    <t>FBA offers T7D</t>
  </si>
  <si>
    <t>AWAS T7D</t>
  </si>
  <si>
    <t>SCR</t>
  </si>
  <si>
    <t>QD GV</t>
  </si>
  <si>
    <t>QD GV%</t>
  </si>
  <si>
    <t>NCEMI GV</t>
  </si>
  <si>
    <t>NCEMI%</t>
  </si>
  <si>
    <t>Clicks</t>
  </si>
  <si>
    <t>Ad spend</t>
  </si>
  <si>
    <t>Attributed sales</t>
  </si>
  <si>
    <t>ACOS</t>
  </si>
  <si>
    <t>SP Spend%</t>
  </si>
  <si>
    <t>HT OPS</t>
  </si>
  <si>
    <t>MFN HIT OPS</t>
  </si>
  <si>
    <t>FC OOS GV</t>
  </si>
  <si>
    <t>EF OOS GV</t>
  </si>
  <si>
    <t>Overall OOS GV</t>
  </si>
  <si>
    <t>Overall Instock GV</t>
  </si>
  <si>
    <t>FC OOS GV%</t>
  </si>
  <si>
    <t>EF OOS GV%</t>
  </si>
  <si>
    <t>Overall OOS GV%</t>
  </si>
  <si>
    <t>Base week</t>
  </si>
  <si>
    <t>Wk-13</t>
  </si>
  <si>
    <t>Wk-14</t>
  </si>
  <si>
    <t>Wk-15</t>
  </si>
  <si>
    <t>Wk-16</t>
  </si>
  <si>
    <t>WoW</t>
  </si>
  <si>
    <t>Wk-16'25</t>
  </si>
  <si>
    <t>Jan</t>
  </si>
  <si>
    <t>Feb</t>
  </si>
  <si>
    <t>March</t>
  </si>
  <si>
    <t>MTD</t>
  </si>
  <si>
    <t>Q2'26</t>
  </si>
  <si>
    <t>Q2'25</t>
  </si>
  <si>
    <t>YoY (Qtrly)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</si>
</sst>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&quot; bps&quot;_);\(#,##0&quot; bps&quot;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2" borderId="3" xfId="0" applyFont="1" applyFill="1" applyBorder="1"/>
    <xf numFmtId="0" fontId="3" fillId="0" borderId="0" xfId="0" applyFont="1"/>
    <xf numFmtId="0" fontId="3" fillId="3" borderId="3" xfId="0" applyFont="1" applyFill="1" applyBorder="1"/>
    <xf numFmtId="1" fontId="3" fillId="4" borderId="3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right"/>
    </xf>
    <xf numFmtId="0" fontId="5" fillId="0" borderId="4" xfId="0" applyFont="1" applyBorder="1"/>
    <xf numFmtId="0" fontId="5" fillId="5" borderId="4" xfId="0" applyFont="1" applyFill="1" applyBorder="1"/>
    <xf numFmtId="164" fontId="5" fillId="0" borderId="4" xfId="1" applyNumberFormat="1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10" fontId="5" fillId="0" borderId="4" xfId="0" applyNumberFormat="1" applyFont="1" applyBorder="1" applyAlignment="1">
      <alignment horizontal="right"/>
    </xf>
    <xf numFmtId="10" fontId="5" fillId="0" borderId="7" xfId="0" applyNumberFormat="1" applyFont="1" applyBorder="1" applyAlignment="1">
      <alignment horizontal="right"/>
    </xf>
    <xf numFmtId="10" fontId="5" fillId="0" borderId="4" xfId="2" applyNumberFormat="1" applyFont="1" applyFill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7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164" fontId="5" fillId="0" borderId="7" xfId="1" applyNumberFormat="1" applyFont="1" applyFill="1" applyBorder="1" applyAlignment="1">
      <alignment horizontal="right"/>
    </xf>
    <xf numFmtId="164" fontId="5" fillId="6" borderId="1" xfId="1" applyNumberFormat="1" applyFont="1" applyFill="1" applyBorder="1" applyAlignment="1">
      <alignment horizontal="right"/>
    </xf>
    <xf numFmtId="1" fontId="5" fillId="6" borderId="2" xfId="0" applyNumberFormat="1" applyFont="1" applyFill="1" applyBorder="1" applyAlignment="1">
      <alignment horizontal="right"/>
    </xf>
    <xf numFmtId="164" fontId="5" fillId="6" borderId="0" xfId="1" applyNumberFormat="1" applyFont="1" applyFill="1" applyBorder="1" applyAlignment="1">
      <alignment horizontal="right"/>
    </xf>
    <xf numFmtId="1" fontId="5" fillId="6" borderId="0" xfId="0" applyNumberFormat="1" applyFont="1" applyFill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0" fontId="5" fillId="0" borderId="9" xfId="0" applyNumberFormat="1" applyFont="1" applyBorder="1" applyAlignment="1">
      <alignment horizontal="right"/>
    </xf>
    <xf numFmtId="10" fontId="5" fillId="0" borderId="5" xfId="2" applyNumberFormat="1" applyFont="1" applyFill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164" fontId="5" fillId="0" borderId="5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0" fontId="5" fillId="6" borderId="2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310B-8AE2-43BB-9A52-6B7805613700}">
  <dimension ref="A1:Q77"/>
  <sheetViews>
    <sheetView tabSelected="1" workbookViewId="0">
      <selection sqref="A1:Q77"/>
    </sheetView>
  </sheetViews>
  <sheetFormatPr defaultRowHeight="14.5" x14ac:dyDescent="0.35"/>
  <sheetData>
    <row r="1" spans="1:17" x14ac:dyDescent="0.35">
      <c r="A1" s="1"/>
      <c r="B1" s="2" t="s">
        <v>0</v>
      </c>
      <c r="C1" s="2" t="s">
        <v>1</v>
      </c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/>
      <c r="B2" s="4" t="s">
        <v>2</v>
      </c>
      <c r="C2" s="5" t="s">
        <v>3</v>
      </c>
      <c r="D2" s="6">
        <v>496400242112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7" t="s">
        <v>4</v>
      </c>
      <c r="B4" s="7" t="s">
        <v>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80</v>
      </c>
      <c r="H4" s="8" t="s">
        <v>6</v>
      </c>
      <c r="I4" s="8" t="s">
        <v>81</v>
      </c>
      <c r="J4" s="8" t="s">
        <v>82</v>
      </c>
      <c r="K4" s="8" t="s">
        <v>83</v>
      </c>
      <c r="L4" s="8" t="s">
        <v>84</v>
      </c>
      <c r="M4" s="8" t="s">
        <v>85</v>
      </c>
      <c r="N4" s="9" t="s">
        <v>86</v>
      </c>
      <c r="O4" s="9" t="s">
        <v>87</v>
      </c>
      <c r="P4" s="9" t="s">
        <v>88</v>
      </c>
      <c r="Q4" s="10" t="s">
        <v>89</v>
      </c>
    </row>
    <row r="5" spans="1:17" x14ac:dyDescent="0.35">
      <c r="A5" s="11">
        <v>1</v>
      </c>
      <c r="B5" s="12" t="s">
        <v>7</v>
      </c>
      <c r="C5" s="13">
        <v>761911.75</v>
      </c>
      <c r="D5" s="13">
        <v>761911.75</v>
      </c>
      <c r="E5" s="13">
        <v>644071.36</v>
      </c>
      <c r="F5" s="13">
        <v>1086632.3</v>
      </c>
      <c r="G5" s="13">
        <v>1116885.45</v>
      </c>
      <c r="H5" s="14"/>
      <c r="I5" s="15">
        <v>2.7841202585271896E-2</v>
      </c>
      <c r="J5" s="13">
        <v>339889.9</v>
      </c>
      <c r="K5" s="13">
        <v>3809023.59</v>
      </c>
      <c r="L5" s="13">
        <v>3870885.93</v>
      </c>
      <c r="M5" s="13">
        <v>3819153.75</v>
      </c>
      <c r="N5" s="13">
        <v>2554270.2599999998</v>
      </c>
      <c r="O5" s="13">
        <v>2554270.2599999998</v>
      </c>
      <c r="P5" s="13">
        <v>832629.83</v>
      </c>
      <c r="Q5" s="16">
        <v>2.0677140885043714</v>
      </c>
    </row>
    <row r="6" spans="1:17" x14ac:dyDescent="0.35">
      <c r="A6" s="11">
        <v>2</v>
      </c>
      <c r="B6" s="12" t="s">
        <v>8</v>
      </c>
      <c r="C6" s="13">
        <v>58208.69</v>
      </c>
      <c r="D6" s="13">
        <v>58208.69</v>
      </c>
      <c r="E6" s="13">
        <v>69706.02</v>
      </c>
      <c r="F6" s="13">
        <v>72872.3</v>
      </c>
      <c r="G6" s="13">
        <v>78301.259999999995</v>
      </c>
      <c r="H6" s="14"/>
      <c r="I6" s="15">
        <v>7.4499638408558333E-2</v>
      </c>
      <c r="J6" s="13">
        <v>166270.44</v>
      </c>
      <c r="K6" s="13">
        <v>131696.76999999999</v>
      </c>
      <c r="L6" s="13">
        <v>221531.15</v>
      </c>
      <c r="M6" s="13">
        <v>222459.24</v>
      </c>
      <c r="N6" s="13">
        <v>187820.96</v>
      </c>
      <c r="O6" s="13">
        <v>187820.96</v>
      </c>
      <c r="P6" s="13">
        <v>0</v>
      </c>
      <c r="Q6" s="16" t="e">
        <v>#DIV/0!</v>
      </c>
    </row>
    <row r="7" spans="1:17" x14ac:dyDescent="0.35">
      <c r="A7" s="11">
        <v>3</v>
      </c>
      <c r="B7" s="12" t="s">
        <v>9</v>
      </c>
      <c r="C7" s="13">
        <v>41083.449999999997</v>
      </c>
      <c r="D7" s="13">
        <v>41083.449999999997</v>
      </c>
      <c r="E7" s="13">
        <v>30459.63</v>
      </c>
      <c r="F7" s="13">
        <v>20575.04</v>
      </c>
      <c r="G7" s="13">
        <v>49089.84</v>
      </c>
      <c r="H7" s="14"/>
      <c r="I7" s="15">
        <v>1.3858928099289232</v>
      </c>
      <c r="J7" s="13">
        <v>10719.56</v>
      </c>
      <c r="K7" s="13">
        <v>67540.13</v>
      </c>
      <c r="L7" s="13">
        <v>83767.31</v>
      </c>
      <c r="M7" s="13">
        <v>143699.1</v>
      </c>
      <c r="N7" s="13">
        <v>79724.86</v>
      </c>
      <c r="O7" s="13">
        <v>79724.86</v>
      </c>
      <c r="P7" s="13">
        <v>360663.92</v>
      </c>
      <c r="Q7" s="16">
        <v>-0.77894972139159357</v>
      </c>
    </row>
    <row r="8" spans="1:17" x14ac:dyDescent="0.35">
      <c r="A8" s="11">
        <v>4</v>
      </c>
      <c r="B8" s="12" t="s">
        <v>10</v>
      </c>
      <c r="C8" s="13">
        <v>772821.86</v>
      </c>
      <c r="D8" s="13">
        <v>772821.86</v>
      </c>
      <c r="E8" s="13">
        <v>773347.1</v>
      </c>
      <c r="F8" s="13">
        <v>1157744.92</v>
      </c>
      <c r="G8" s="13">
        <v>1228537.6200000001</v>
      </c>
      <c r="H8" s="14"/>
      <c r="I8" s="15">
        <v>6.11470616515426E-2</v>
      </c>
      <c r="J8" s="13">
        <v>391777.81</v>
      </c>
      <c r="K8" s="13">
        <v>4227432.58</v>
      </c>
      <c r="L8" s="13">
        <v>4253134.2</v>
      </c>
      <c r="M8" s="13">
        <v>4227582.6100000003</v>
      </c>
      <c r="N8" s="13">
        <v>2818403.73</v>
      </c>
      <c r="O8" s="13">
        <v>2818403.73</v>
      </c>
      <c r="P8" s="13">
        <v>902962.51</v>
      </c>
      <c r="Q8" s="16">
        <v>2.1212854340984766</v>
      </c>
    </row>
    <row r="9" spans="1:17" x14ac:dyDescent="0.35">
      <c r="A9" s="11">
        <v>5</v>
      </c>
      <c r="B9" s="12" t="s">
        <v>11</v>
      </c>
      <c r="C9" s="17">
        <v>0.98588276216720894</v>
      </c>
      <c r="D9" s="17">
        <v>0.98588276216720894</v>
      </c>
      <c r="E9" s="17">
        <v>0.83283607063374265</v>
      </c>
      <c r="F9" s="17">
        <v>0.93857660804937937</v>
      </c>
      <c r="G9" s="17">
        <v>0.90911782579356415</v>
      </c>
      <c r="H9" s="14"/>
      <c r="I9" s="18">
        <v>-295</v>
      </c>
      <c r="J9" s="17">
        <v>0.8675578129348368</v>
      </c>
      <c r="K9" s="17">
        <v>0.90102527193940485</v>
      </c>
      <c r="L9" s="17">
        <v>0.91012550932439418</v>
      </c>
      <c r="M9" s="17">
        <v>0.90338950230472248</v>
      </c>
      <c r="N9" s="17">
        <v>0.90628259990274695</v>
      </c>
      <c r="O9" s="17">
        <v>0.90628259990274695</v>
      </c>
      <c r="P9" s="17">
        <v>0.92210896995047997</v>
      </c>
      <c r="Q9" s="19">
        <v>-159</v>
      </c>
    </row>
    <row r="10" spans="1:17" x14ac:dyDescent="0.35">
      <c r="A10" s="11">
        <v>6</v>
      </c>
      <c r="B10" s="12" t="s">
        <v>12</v>
      </c>
      <c r="C10" s="20">
        <v>644.92913352192363</v>
      </c>
      <c r="D10" s="20">
        <v>644.92913352192363</v>
      </c>
      <c r="E10" s="20">
        <v>603.13917911434237</v>
      </c>
      <c r="F10" s="20">
        <v>698.07818375063869</v>
      </c>
      <c r="G10" s="20">
        <v>670.52469546716009</v>
      </c>
      <c r="H10" s="14"/>
      <c r="I10" s="15">
        <v>-3.9470490447701789E-2</v>
      </c>
      <c r="J10" s="20">
        <v>589.66558137755101</v>
      </c>
      <c r="K10" s="20">
        <v>663.52360260707633</v>
      </c>
      <c r="L10" s="20">
        <v>668.98138576379631</v>
      </c>
      <c r="M10" s="20">
        <v>648.03162896856338</v>
      </c>
      <c r="N10" s="20">
        <v>668.08284479710721</v>
      </c>
      <c r="O10" s="20">
        <v>668.08284479710721</v>
      </c>
      <c r="P10" s="20">
        <v>560.19756140904303</v>
      </c>
      <c r="Q10" s="16">
        <v>0.1925843502722584</v>
      </c>
    </row>
    <row r="11" spans="1:17" x14ac:dyDescent="0.35">
      <c r="A11" s="11">
        <v>7</v>
      </c>
      <c r="B11" s="12" t="s">
        <v>13</v>
      </c>
      <c r="C11" s="13">
        <v>111</v>
      </c>
      <c r="D11" s="13">
        <v>111</v>
      </c>
      <c r="E11" s="13">
        <v>110</v>
      </c>
      <c r="F11" s="13">
        <v>110</v>
      </c>
      <c r="G11" s="13">
        <v>110</v>
      </c>
      <c r="H11" s="14"/>
      <c r="I11" s="20">
        <v>0</v>
      </c>
      <c r="J11" s="13">
        <v>123</v>
      </c>
      <c r="K11" s="13">
        <v>135</v>
      </c>
      <c r="L11" s="13">
        <v>123</v>
      </c>
      <c r="M11" s="21">
        <v>111</v>
      </c>
      <c r="N11" s="22"/>
      <c r="O11" s="22"/>
      <c r="P11" s="22"/>
      <c r="Q11" s="23"/>
    </row>
    <row r="12" spans="1:17" x14ac:dyDescent="0.35">
      <c r="A12" s="11">
        <v>8</v>
      </c>
      <c r="B12" s="12" t="s">
        <v>14</v>
      </c>
      <c r="C12" s="13">
        <v>14</v>
      </c>
      <c r="D12" s="13">
        <v>14</v>
      </c>
      <c r="E12" s="13">
        <v>14</v>
      </c>
      <c r="F12" s="13">
        <v>14</v>
      </c>
      <c r="G12" s="13">
        <v>14</v>
      </c>
      <c r="H12" s="14"/>
      <c r="I12" s="20">
        <v>0</v>
      </c>
      <c r="J12" s="13">
        <v>87</v>
      </c>
      <c r="K12" s="13">
        <v>8</v>
      </c>
      <c r="L12" s="13">
        <v>11</v>
      </c>
      <c r="M12" s="21">
        <v>14</v>
      </c>
      <c r="N12" s="22"/>
      <c r="O12" s="22"/>
      <c r="P12" s="22"/>
      <c r="Q12" s="23"/>
    </row>
    <row r="13" spans="1:17" x14ac:dyDescent="0.35">
      <c r="A13" s="11">
        <v>9</v>
      </c>
      <c r="B13" s="12" t="s">
        <v>15</v>
      </c>
      <c r="C13" s="13">
        <v>10</v>
      </c>
      <c r="D13" s="13">
        <v>10</v>
      </c>
      <c r="E13" s="13">
        <v>10</v>
      </c>
      <c r="F13" s="13">
        <v>10</v>
      </c>
      <c r="G13" s="13">
        <v>10</v>
      </c>
      <c r="H13" s="14"/>
      <c r="I13" s="20">
        <v>0</v>
      </c>
      <c r="J13" s="13">
        <v>16</v>
      </c>
      <c r="K13" s="13">
        <v>8</v>
      </c>
      <c r="L13" s="13">
        <v>11</v>
      </c>
      <c r="M13" s="21">
        <v>14</v>
      </c>
      <c r="N13" s="22"/>
      <c r="O13" s="22"/>
      <c r="P13" s="22"/>
      <c r="Q13" s="23"/>
    </row>
    <row r="14" spans="1:17" x14ac:dyDescent="0.35">
      <c r="A14" s="11">
        <v>10</v>
      </c>
      <c r="B14" s="12" t="s">
        <v>16</v>
      </c>
      <c r="C14" s="13">
        <v>57</v>
      </c>
      <c r="D14" s="13">
        <v>57</v>
      </c>
      <c r="E14" s="13">
        <v>59</v>
      </c>
      <c r="F14" s="13">
        <v>58</v>
      </c>
      <c r="G14" s="13">
        <v>58</v>
      </c>
      <c r="H14" s="14"/>
      <c r="I14" s="20">
        <v>0</v>
      </c>
      <c r="J14" s="13">
        <v>51</v>
      </c>
      <c r="K14" s="13">
        <v>64</v>
      </c>
      <c r="L14" s="13">
        <v>61</v>
      </c>
      <c r="M14" s="21">
        <v>57</v>
      </c>
      <c r="N14" s="22"/>
      <c r="O14" s="22"/>
      <c r="P14" s="22"/>
      <c r="Q14" s="23"/>
    </row>
    <row r="15" spans="1:17" x14ac:dyDescent="0.35">
      <c r="A15" s="11">
        <v>11</v>
      </c>
      <c r="B15" s="12" t="s">
        <v>17</v>
      </c>
      <c r="C15" s="13">
        <v>109</v>
      </c>
      <c r="D15" s="13">
        <v>109</v>
      </c>
      <c r="E15" s="13">
        <v>109</v>
      </c>
      <c r="F15" s="13">
        <v>109</v>
      </c>
      <c r="G15" s="13">
        <v>109</v>
      </c>
      <c r="H15" s="14"/>
      <c r="I15" s="20">
        <v>0</v>
      </c>
      <c r="J15" s="13">
        <v>121</v>
      </c>
      <c r="K15" s="13">
        <v>134</v>
      </c>
      <c r="L15" s="13">
        <v>122</v>
      </c>
      <c r="M15" s="21">
        <v>109</v>
      </c>
      <c r="N15" s="22"/>
      <c r="O15" s="22"/>
      <c r="P15" s="22"/>
      <c r="Q15" s="23"/>
    </row>
    <row r="16" spans="1:17" x14ac:dyDescent="0.35">
      <c r="A16" s="11">
        <v>12</v>
      </c>
      <c r="B16" s="12" t="s">
        <v>18</v>
      </c>
      <c r="C16" s="13">
        <v>16</v>
      </c>
      <c r="D16" s="13">
        <v>16</v>
      </c>
      <c r="E16" s="13">
        <v>14</v>
      </c>
      <c r="F16" s="13">
        <v>14</v>
      </c>
      <c r="G16" s="13">
        <v>14</v>
      </c>
      <c r="H16" s="14"/>
      <c r="I16" s="20">
        <v>0</v>
      </c>
      <c r="J16" s="13">
        <v>0</v>
      </c>
      <c r="K16" s="13">
        <v>29</v>
      </c>
      <c r="L16" s="13">
        <v>20</v>
      </c>
      <c r="M16" s="21">
        <v>16</v>
      </c>
      <c r="N16" s="22"/>
      <c r="O16" s="22"/>
      <c r="P16" s="22"/>
      <c r="Q16" s="23"/>
    </row>
    <row r="17" spans="1:17" x14ac:dyDescent="0.35">
      <c r="A17" s="11">
        <v>13</v>
      </c>
      <c r="B17" s="12" t="s">
        <v>19</v>
      </c>
      <c r="C17" s="13">
        <v>61</v>
      </c>
      <c r="D17" s="13">
        <v>61</v>
      </c>
      <c r="E17" s="13">
        <v>61</v>
      </c>
      <c r="F17" s="13">
        <v>60</v>
      </c>
      <c r="G17" s="13">
        <v>60</v>
      </c>
      <c r="H17" s="14"/>
      <c r="I17" s="20">
        <v>0</v>
      </c>
      <c r="J17" s="13">
        <v>51</v>
      </c>
      <c r="K17" s="13">
        <v>72</v>
      </c>
      <c r="L17" s="13">
        <v>67</v>
      </c>
      <c r="M17" s="21">
        <v>61</v>
      </c>
      <c r="N17" s="22"/>
      <c r="O17" s="22"/>
      <c r="P17" s="22"/>
      <c r="Q17" s="23"/>
    </row>
    <row r="18" spans="1:17" x14ac:dyDescent="0.35">
      <c r="A18" s="11">
        <v>14</v>
      </c>
      <c r="B18" s="12" t="s">
        <v>20</v>
      </c>
      <c r="C18" s="13">
        <v>106</v>
      </c>
      <c r="D18" s="13">
        <v>106</v>
      </c>
      <c r="E18" s="13">
        <v>108</v>
      </c>
      <c r="F18" s="13">
        <v>109</v>
      </c>
      <c r="G18" s="13">
        <v>108</v>
      </c>
      <c r="H18" s="14"/>
      <c r="I18" s="20">
        <v>-1</v>
      </c>
      <c r="J18" s="13">
        <v>98</v>
      </c>
      <c r="K18" s="13">
        <v>131</v>
      </c>
      <c r="L18" s="13">
        <v>119</v>
      </c>
      <c r="M18" s="21">
        <v>108</v>
      </c>
      <c r="N18" s="22"/>
      <c r="O18" s="22"/>
      <c r="P18" s="22"/>
      <c r="Q18" s="23"/>
    </row>
    <row r="19" spans="1:17" x14ac:dyDescent="0.35">
      <c r="A19" s="11">
        <v>15</v>
      </c>
      <c r="B19" s="12" t="s">
        <v>21</v>
      </c>
      <c r="C19" s="13">
        <v>57</v>
      </c>
      <c r="D19" s="13">
        <v>57</v>
      </c>
      <c r="E19" s="13">
        <v>59</v>
      </c>
      <c r="F19" s="13">
        <v>58</v>
      </c>
      <c r="G19" s="13">
        <v>58</v>
      </c>
      <c r="H19" s="14"/>
      <c r="I19" s="20">
        <v>0</v>
      </c>
      <c r="J19" s="13">
        <v>51</v>
      </c>
      <c r="K19" s="13">
        <v>64</v>
      </c>
      <c r="L19" s="13">
        <v>61</v>
      </c>
      <c r="M19" s="21">
        <v>57</v>
      </c>
      <c r="N19" s="24"/>
      <c r="O19" s="24"/>
      <c r="P19" s="24"/>
      <c r="Q19" s="25"/>
    </row>
    <row r="20" spans="1:17" x14ac:dyDescent="0.35">
      <c r="A20" s="11">
        <v>16</v>
      </c>
      <c r="B20" s="12" t="s">
        <v>22</v>
      </c>
      <c r="C20" s="13">
        <v>16</v>
      </c>
      <c r="D20" s="13">
        <v>16</v>
      </c>
      <c r="E20" s="13">
        <v>14</v>
      </c>
      <c r="F20" s="13">
        <v>14</v>
      </c>
      <c r="G20" s="13">
        <v>14</v>
      </c>
      <c r="H20" s="14"/>
      <c r="I20" s="20">
        <v>0</v>
      </c>
      <c r="J20" s="13">
        <v>0</v>
      </c>
      <c r="K20" s="13">
        <v>29</v>
      </c>
      <c r="L20" s="13">
        <v>20</v>
      </c>
      <c r="M20" s="21">
        <v>16</v>
      </c>
      <c r="N20" s="24"/>
      <c r="O20" s="24"/>
      <c r="P20" s="24"/>
      <c r="Q20" s="25"/>
    </row>
    <row r="21" spans="1:17" x14ac:dyDescent="0.35">
      <c r="A21" s="11"/>
      <c r="B21" s="12" t="s">
        <v>23</v>
      </c>
      <c r="C21" s="13">
        <v>31366</v>
      </c>
      <c r="D21" s="13">
        <v>31366</v>
      </c>
      <c r="E21" s="13">
        <v>28068</v>
      </c>
      <c r="F21" s="13">
        <v>43950</v>
      </c>
      <c r="G21" s="13">
        <v>46682</v>
      </c>
      <c r="H21" s="14"/>
      <c r="I21" s="15">
        <v>6.2161547212741697E-2</v>
      </c>
      <c r="J21" s="13">
        <v>10276</v>
      </c>
      <c r="K21" s="13">
        <v>137851</v>
      </c>
      <c r="L21" s="13">
        <v>154040</v>
      </c>
      <c r="M21" s="13">
        <v>165466</v>
      </c>
      <c r="N21" s="26">
        <v>106669</v>
      </c>
      <c r="O21" s="26">
        <v>106669</v>
      </c>
      <c r="P21" s="26">
        <v>192234</v>
      </c>
      <c r="Q21" s="27">
        <v>-0.4451085656023388</v>
      </c>
    </row>
    <row r="22" spans="1:17" x14ac:dyDescent="0.35">
      <c r="A22" s="11"/>
      <c r="B22" s="12" t="s">
        <v>24</v>
      </c>
      <c r="C22" s="13">
        <v>31189</v>
      </c>
      <c r="D22" s="13">
        <v>31189</v>
      </c>
      <c r="E22" s="13">
        <v>27946</v>
      </c>
      <c r="F22" s="13">
        <v>43879</v>
      </c>
      <c r="G22" s="13">
        <v>46617</v>
      </c>
      <c r="H22" s="14"/>
      <c r="I22" s="15">
        <v>6.2398869618724317E-2</v>
      </c>
      <c r="J22" s="13">
        <v>10276</v>
      </c>
      <c r="K22" s="13">
        <v>132701</v>
      </c>
      <c r="L22" s="13">
        <v>151135</v>
      </c>
      <c r="M22" s="13">
        <v>164901</v>
      </c>
      <c r="N22" s="13">
        <v>106489</v>
      </c>
      <c r="O22" s="13">
        <v>106489</v>
      </c>
      <c r="P22" s="13">
        <v>192118</v>
      </c>
      <c r="Q22" s="16">
        <v>-0.4457104487866832</v>
      </c>
    </row>
    <row r="23" spans="1:17" x14ac:dyDescent="0.35">
      <c r="A23" s="11"/>
      <c r="B23" s="12" t="s">
        <v>25</v>
      </c>
      <c r="C23" s="13">
        <v>46314</v>
      </c>
      <c r="D23" s="13">
        <v>46314</v>
      </c>
      <c r="E23" s="13">
        <v>52265</v>
      </c>
      <c r="F23" s="13">
        <v>69380</v>
      </c>
      <c r="G23" s="13">
        <v>65750</v>
      </c>
      <c r="H23" s="14"/>
      <c r="I23" s="15">
        <v>-5.2320553473623521E-2</v>
      </c>
      <c r="J23" s="13">
        <v>26196</v>
      </c>
      <c r="K23" s="13">
        <v>265234</v>
      </c>
      <c r="L23" s="13">
        <v>275249</v>
      </c>
      <c r="M23" s="13">
        <v>254660</v>
      </c>
      <c r="N23" s="13">
        <v>166982</v>
      </c>
      <c r="O23" s="13">
        <v>166982</v>
      </c>
      <c r="P23" s="13">
        <v>399954</v>
      </c>
      <c r="Q23" s="16">
        <v>-0.58249698715352261</v>
      </c>
    </row>
    <row r="24" spans="1:17" x14ac:dyDescent="0.35">
      <c r="A24" s="11">
        <v>17</v>
      </c>
      <c r="B24" s="12" t="s">
        <v>26</v>
      </c>
      <c r="C24" s="17">
        <v>0.6772466208921708</v>
      </c>
      <c r="D24" s="17">
        <v>0.6772466208921708</v>
      </c>
      <c r="E24" s="17">
        <v>0.53703243088108676</v>
      </c>
      <c r="F24" s="17">
        <v>0.63346785817238394</v>
      </c>
      <c r="G24" s="17">
        <v>0.70999239543726234</v>
      </c>
      <c r="H24" s="14"/>
      <c r="I24" s="18">
        <v>766</v>
      </c>
      <c r="J24" s="17">
        <v>0.39227362956176509</v>
      </c>
      <c r="K24" s="17">
        <v>0.51973351832721293</v>
      </c>
      <c r="L24" s="17">
        <v>0.55963872711617479</v>
      </c>
      <c r="M24" s="17">
        <v>0.64975261132490381</v>
      </c>
      <c r="N24" s="17">
        <v>0.63880538022062261</v>
      </c>
      <c r="O24" s="17">
        <v>0.63880538022062261</v>
      </c>
      <c r="P24" s="17">
        <v>0.48064027363146761</v>
      </c>
      <c r="Q24" s="19">
        <v>1582</v>
      </c>
    </row>
    <row r="25" spans="1:17" x14ac:dyDescent="0.35">
      <c r="A25" s="11">
        <v>18</v>
      </c>
      <c r="B25" s="12" t="s">
        <v>27</v>
      </c>
      <c r="C25" s="17">
        <v>0.67342488232499897</v>
      </c>
      <c r="D25" s="17">
        <v>0.67342488232499897</v>
      </c>
      <c r="E25" s="17">
        <v>0.53469817277336651</v>
      </c>
      <c r="F25" s="17">
        <v>0.63244450850389156</v>
      </c>
      <c r="G25" s="17">
        <v>0.70900380228136883</v>
      </c>
      <c r="H25" s="14"/>
      <c r="I25" s="18">
        <v>766</v>
      </c>
      <c r="J25" s="17">
        <v>0.39227362956176509</v>
      </c>
      <c r="K25" s="17">
        <v>0.50031670147869434</v>
      </c>
      <c r="L25" s="17">
        <v>0.54908464699235959</v>
      </c>
      <c r="M25" s="17">
        <v>0.64753396685777109</v>
      </c>
      <c r="N25" s="17">
        <v>0.63772741972188618</v>
      </c>
      <c r="O25" s="17">
        <v>0.63772741972188618</v>
      </c>
      <c r="P25" s="17">
        <v>0.4803502402776319</v>
      </c>
      <c r="Q25" s="19">
        <v>1574</v>
      </c>
    </row>
    <row r="26" spans="1:17" x14ac:dyDescent="0.35">
      <c r="A26" s="11">
        <v>19</v>
      </c>
      <c r="B26" s="12" t="s">
        <v>28</v>
      </c>
      <c r="C26" s="17">
        <v>3.0530725050740597E-2</v>
      </c>
      <c r="D26" s="17">
        <v>3.0530725050740597E-2</v>
      </c>
      <c r="E26" s="17">
        <v>2.8948627188366976E-2</v>
      </c>
      <c r="F26" s="17">
        <v>2.8206976073796484E-2</v>
      </c>
      <c r="G26" s="17">
        <v>3.2882129277566542E-2</v>
      </c>
      <c r="H26" s="14"/>
      <c r="I26" s="18">
        <v>47</v>
      </c>
      <c r="J26" s="17">
        <v>2.9928233318063827E-2</v>
      </c>
      <c r="K26" s="17">
        <v>2.8344782343138513E-2</v>
      </c>
      <c r="L26" s="17">
        <v>2.7255321545219056E-2</v>
      </c>
      <c r="M26" s="17">
        <v>3.0228540014136496E-2</v>
      </c>
      <c r="N26" s="17">
        <v>2.9811596459498629E-2</v>
      </c>
      <c r="O26" s="17">
        <v>2.9811596459498629E-2</v>
      </c>
      <c r="P26" s="17">
        <v>4.7555468878921073E-3</v>
      </c>
      <c r="Q26" s="19">
        <v>251</v>
      </c>
    </row>
    <row r="27" spans="1:17" x14ac:dyDescent="0.35">
      <c r="A27" s="11"/>
      <c r="B27" s="12" t="s">
        <v>29</v>
      </c>
      <c r="C27" s="13">
        <v>29565</v>
      </c>
      <c r="D27" s="13">
        <v>29565</v>
      </c>
      <c r="E27" s="13">
        <v>29481</v>
      </c>
      <c r="F27" s="13">
        <v>48415</v>
      </c>
      <c r="G27" s="13">
        <v>37835</v>
      </c>
      <c r="H27" s="14"/>
      <c r="I27" s="15">
        <v>-0.21852731591448926</v>
      </c>
      <c r="J27" s="13">
        <v>9729</v>
      </c>
      <c r="K27" s="13">
        <v>98816</v>
      </c>
      <c r="L27" s="13">
        <v>130147</v>
      </c>
      <c r="M27" s="13">
        <v>139237</v>
      </c>
      <c r="N27" s="13">
        <v>103851</v>
      </c>
      <c r="O27" s="13">
        <v>103851</v>
      </c>
      <c r="P27" s="13">
        <v>26542</v>
      </c>
      <c r="Q27" s="16">
        <v>2.9127043930374499</v>
      </c>
    </row>
    <row r="28" spans="1:17" x14ac:dyDescent="0.35">
      <c r="A28" s="11"/>
      <c r="B28" s="12" t="s">
        <v>30</v>
      </c>
      <c r="C28" s="13">
        <v>36916</v>
      </c>
      <c r="D28" s="13">
        <v>36916</v>
      </c>
      <c r="E28" s="13">
        <v>39420</v>
      </c>
      <c r="F28" s="13">
        <v>54603</v>
      </c>
      <c r="G28" s="13">
        <v>45802</v>
      </c>
      <c r="H28" s="14"/>
      <c r="I28" s="15">
        <v>-0.16118162005750603</v>
      </c>
      <c r="J28" s="13">
        <v>17099</v>
      </c>
      <c r="K28" s="13">
        <v>171031</v>
      </c>
      <c r="L28" s="13">
        <v>204030</v>
      </c>
      <c r="M28" s="13">
        <v>191862</v>
      </c>
      <c r="N28" s="13">
        <v>124362</v>
      </c>
      <c r="O28" s="13">
        <v>124362</v>
      </c>
      <c r="P28" s="13">
        <v>41885</v>
      </c>
      <c r="Q28" s="16">
        <v>1.9691297600572999</v>
      </c>
    </row>
    <row r="29" spans="1:17" x14ac:dyDescent="0.35">
      <c r="A29" s="11">
        <v>20</v>
      </c>
      <c r="B29" s="12" t="s">
        <v>31</v>
      </c>
      <c r="C29" s="17">
        <v>0.80087225051468203</v>
      </c>
      <c r="D29" s="17">
        <v>0.80087225051468203</v>
      </c>
      <c r="E29" s="17">
        <v>0.74786910197869105</v>
      </c>
      <c r="F29" s="17">
        <v>0.88667289343076305</v>
      </c>
      <c r="G29" s="17">
        <v>0.82605563075848198</v>
      </c>
      <c r="H29" s="14"/>
      <c r="I29" s="18">
        <v>-607</v>
      </c>
      <c r="J29" s="17">
        <v>0.56898064214281496</v>
      </c>
      <c r="K29" s="17">
        <v>0.57776660371511601</v>
      </c>
      <c r="L29" s="17">
        <v>0.63788168406606804</v>
      </c>
      <c r="M29" s="17">
        <v>0.72571431549759702</v>
      </c>
      <c r="N29" s="17">
        <v>0.83507019829208196</v>
      </c>
      <c r="O29" s="17">
        <v>0.83507019829208196</v>
      </c>
      <c r="P29" s="17">
        <v>0.63368747761728506</v>
      </c>
      <c r="Q29" s="19">
        <v>2014</v>
      </c>
    </row>
    <row r="30" spans="1:17" x14ac:dyDescent="0.35">
      <c r="A30" s="11"/>
      <c r="B30" s="12" t="s">
        <v>32</v>
      </c>
      <c r="C30" s="13">
        <v>678</v>
      </c>
      <c r="D30" s="13">
        <v>678</v>
      </c>
      <c r="E30" s="13">
        <v>698</v>
      </c>
      <c r="F30" s="13">
        <v>956</v>
      </c>
      <c r="G30" s="13">
        <v>1315</v>
      </c>
      <c r="H30" s="14"/>
      <c r="I30" s="15">
        <v>0.37552301255230125</v>
      </c>
      <c r="J30" s="13">
        <v>302</v>
      </c>
      <c r="K30" s="13">
        <v>3398</v>
      </c>
      <c r="L30" s="13">
        <v>3758</v>
      </c>
      <c r="M30" s="13">
        <v>4290</v>
      </c>
      <c r="N30" s="13">
        <v>2642</v>
      </c>
      <c r="O30" s="13">
        <v>2642</v>
      </c>
      <c r="P30" s="13">
        <v>763</v>
      </c>
      <c r="Q30" s="16">
        <v>2.4626474442988204</v>
      </c>
    </row>
    <row r="31" spans="1:17" x14ac:dyDescent="0.35">
      <c r="A31" s="11"/>
      <c r="B31" s="12" t="s">
        <v>33</v>
      </c>
      <c r="C31" s="13">
        <v>1414</v>
      </c>
      <c r="D31" s="13">
        <v>1414</v>
      </c>
      <c r="E31" s="13">
        <v>1513</v>
      </c>
      <c r="F31" s="13">
        <v>1957</v>
      </c>
      <c r="G31" s="13">
        <v>2162</v>
      </c>
      <c r="H31" s="14"/>
      <c r="I31" s="15">
        <v>0.10475217169136442</v>
      </c>
      <c r="J31" s="13">
        <v>784</v>
      </c>
      <c r="K31" s="13">
        <v>7518</v>
      </c>
      <c r="L31" s="13">
        <v>7502</v>
      </c>
      <c r="M31" s="13">
        <v>7698</v>
      </c>
      <c r="N31" s="13">
        <v>4978</v>
      </c>
      <c r="O31" s="13">
        <v>4978</v>
      </c>
      <c r="P31" s="13">
        <v>1902</v>
      </c>
      <c r="Q31" s="16">
        <v>1.6172450052576237</v>
      </c>
    </row>
    <row r="32" spans="1:17" x14ac:dyDescent="0.35">
      <c r="A32" s="11">
        <v>21</v>
      </c>
      <c r="B32" s="12" t="s">
        <v>34</v>
      </c>
      <c r="C32" s="17">
        <v>0.4794908062234795</v>
      </c>
      <c r="D32" s="17">
        <v>0.4794908062234795</v>
      </c>
      <c r="E32" s="17">
        <v>0.46133509583608717</v>
      </c>
      <c r="F32" s="17">
        <v>0.48850281042411853</v>
      </c>
      <c r="G32" s="17">
        <v>0.60823311748381126</v>
      </c>
      <c r="H32" s="14"/>
      <c r="I32" s="18">
        <v>1198</v>
      </c>
      <c r="J32" s="17">
        <v>0.38520408163265307</v>
      </c>
      <c r="K32" s="17">
        <v>0.45198191008246869</v>
      </c>
      <c r="L32" s="17">
        <v>0.5009330845107971</v>
      </c>
      <c r="M32" s="17">
        <v>0.5572876071706937</v>
      </c>
      <c r="N32" s="17">
        <v>0.53073523503415021</v>
      </c>
      <c r="O32" s="17">
        <v>0.53073523503415021</v>
      </c>
      <c r="P32" s="17">
        <v>0.40115667718191378</v>
      </c>
      <c r="Q32" s="19">
        <v>1296</v>
      </c>
    </row>
    <row r="33" spans="1:17" x14ac:dyDescent="0.35">
      <c r="A33" s="11"/>
      <c r="B33" s="12" t="s">
        <v>35</v>
      </c>
      <c r="C33" s="13">
        <v>0</v>
      </c>
      <c r="D33" s="13">
        <v>0</v>
      </c>
      <c r="E33" s="13">
        <v>2939</v>
      </c>
      <c r="F33" s="13">
        <v>812</v>
      </c>
      <c r="G33" s="13">
        <v>0</v>
      </c>
      <c r="H33" s="14"/>
      <c r="I33" s="15">
        <v>-1</v>
      </c>
      <c r="J33" s="13">
        <v>0</v>
      </c>
      <c r="K33" s="13">
        <v>0</v>
      </c>
      <c r="L33" s="13">
        <v>0</v>
      </c>
      <c r="M33" s="13">
        <v>0</v>
      </c>
      <c r="N33" s="13">
        <v>3751</v>
      </c>
      <c r="O33" s="13">
        <v>3751</v>
      </c>
      <c r="P33" s="13">
        <v>0</v>
      </c>
      <c r="Q33" s="16" t="e">
        <v>#DIV/0!</v>
      </c>
    </row>
    <row r="34" spans="1:17" x14ac:dyDescent="0.35">
      <c r="A34" s="11"/>
      <c r="B34" s="12" t="s">
        <v>36</v>
      </c>
      <c r="C34" s="13">
        <v>466</v>
      </c>
      <c r="D34" s="13">
        <v>466</v>
      </c>
      <c r="E34" s="13">
        <v>2939</v>
      </c>
      <c r="F34" s="13">
        <v>812</v>
      </c>
      <c r="G34" s="13">
        <v>4198</v>
      </c>
      <c r="H34" s="14"/>
      <c r="I34" s="15">
        <v>4.1699507389162562</v>
      </c>
      <c r="J34" s="13">
        <v>1610</v>
      </c>
      <c r="K34" s="13">
        <v>4109</v>
      </c>
      <c r="L34" s="13">
        <v>7762</v>
      </c>
      <c r="M34" s="13">
        <v>2210</v>
      </c>
      <c r="N34" s="13">
        <v>7949</v>
      </c>
      <c r="O34" s="13">
        <v>7949</v>
      </c>
      <c r="P34" s="13">
        <v>1518</v>
      </c>
      <c r="Q34" s="16">
        <v>4.2364953886693018</v>
      </c>
    </row>
    <row r="35" spans="1:17" x14ac:dyDescent="0.35">
      <c r="A35" s="11">
        <v>22</v>
      </c>
      <c r="B35" s="12" t="s">
        <v>37</v>
      </c>
      <c r="C35" s="17">
        <v>0</v>
      </c>
      <c r="D35" s="17">
        <v>0</v>
      </c>
      <c r="E35" s="17">
        <v>1</v>
      </c>
      <c r="F35" s="17">
        <v>1</v>
      </c>
      <c r="G35" s="17">
        <v>0</v>
      </c>
      <c r="H35" s="14"/>
      <c r="I35" s="18">
        <v>-10000</v>
      </c>
      <c r="J35" s="17">
        <v>0</v>
      </c>
      <c r="K35" s="17">
        <v>0</v>
      </c>
      <c r="L35" s="17">
        <v>0</v>
      </c>
      <c r="M35" s="17">
        <v>0</v>
      </c>
      <c r="N35" s="17">
        <v>0.47188325575544088</v>
      </c>
      <c r="O35" s="17">
        <v>0.47188325575544088</v>
      </c>
      <c r="P35" s="17">
        <v>0</v>
      </c>
      <c r="Q35" s="19">
        <v>4719</v>
      </c>
    </row>
    <row r="36" spans="1:17" x14ac:dyDescent="0.35">
      <c r="A36" s="11"/>
      <c r="B36" s="12" t="s">
        <v>38</v>
      </c>
      <c r="C36" s="13">
        <v>1267</v>
      </c>
      <c r="D36" s="13">
        <v>1267</v>
      </c>
      <c r="E36" s="13">
        <v>1363</v>
      </c>
      <c r="F36" s="13">
        <v>1791</v>
      </c>
      <c r="G36" s="13">
        <v>1910</v>
      </c>
      <c r="H36" s="14"/>
      <c r="I36" s="15">
        <v>6.6443327749860392E-2</v>
      </c>
      <c r="J36" s="13">
        <v>0</v>
      </c>
      <c r="K36" s="13">
        <v>3921</v>
      </c>
      <c r="L36" s="13">
        <v>5894</v>
      </c>
      <c r="M36" s="13">
        <v>6930</v>
      </c>
      <c r="N36" s="13">
        <v>4471</v>
      </c>
      <c r="O36" s="13">
        <v>4471</v>
      </c>
      <c r="P36" s="13">
        <v>0</v>
      </c>
      <c r="Q36" s="16" t="e">
        <v>#DIV/0!</v>
      </c>
    </row>
    <row r="37" spans="1:17" x14ac:dyDescent="0.35">
      <c r="A37" s="11"/>
      <c r="B37" s="12" t="s">
        <v>39</v>
      </c>
      <c r="C37" s="13">
        <v>106</v>
      </c>
      <c r="D37" s="13">
        <v>106</v>
      </c>
      <c r="E37" s="13">
        <v>198</v>
      </c>
      <c r="F37" s="13">
        <v>196</v>
      </c>
      <c r="G37" s="13">
        <v>192</v>
      </c>
      <c r="H37" s="14"/>
      <c r="I37" s="15">
        <v>-2.0408163265306145E-2</v>
      </c>
      <c r="J37" s="13">
        <v>0</v>
      </c>
      <c r="K37" s="13">
        <v>585</v>
      </c>
      <c r="L37" s="13">
        <v>778</v>
      </c>
      <c r="M37" s="13">
        <v>799</v>
      </c>
      <c r="N37" s="13">
        <v>499</v>
      </c>
      <c r="O37" s="13">
        <v>499</v>
      </c>
      <c r="P37" s="13">
        <v>0</v>
      </c>
      <c r="Q37" s="16" t="e">
        <v>#DIV/0!</v>
      </c>
    </row>
    <row r="38" spans="1:17" x14ac:dyDescent="0.35">
      <c r="A38" s="11"/>
      <c r="B38" s="12" t="s">
        <v>33</v>
      </c>
      <c r="C38" s="13">
        <v>1310</v>
      </c>
      <c r="D38" s="13">
        <v>1310</v>
      </c>
      <c r="E38" s="13">
        <v>1429</v>
      </c>
      <c r="F38" s="13">
        <v>1850</v>
      </c>
      <c r="G38" s="13">
        <v>1966</v>
      </c>
      <c r="H38" s="14"/>
      <c r="I38" s="15">
        <v>6.2702702702702728E-2</v>
      </c>
      <c r="J38" s="13">
        <v>751</v>
      </c>
      <c r="K38" s="13">
        <v>6990</v>
      </c>
      <c r="L38" s="13">
        <v>6960</v>
      </c>
      <c r="M38" s="13">
        <v>7108</v>
      </c>
      <c r="N38" s="13">
        <v>4626</v>
      </c>
      <c r="O38" s="13">
        <v>4626</v>
      </c>
      <c r="P38" s="13">
        <v>1802</v>
      </c>
      <c r="Q38" s="16">
        <v>1.567147613762486</v>
      </c>
    </row>
    <row r="39" spans="1:17" x14ac:dyDescent="0.35">
      <c r="A39" s="11">
        <v>23</v>
      </c>
      <c r="B39" s="12" t="s">
        <v>40</v>
      </c>
      <c r="C39" s="17">
        <v>0.96717557251908393</v>
      </c>
      <c r="D39" s="17">
        <v>0.96717557251908393</v>
      </c>
      <c r="E39" s="17">
        <v>0.95381385584324707</v>
      </c>
      <c r="F39" s="17">
        <v>0.9681081081081081</v>
      </c>
      <c r="G39" s="17">
        <v>0.97151576805696849</v>
      </c>
      <c r="H39" s="14"/>
      <c r="I39" s="18">
        <v>35</v>
      </c>
      <c r="J39" s="17">
        <v>0</v>
      </c>
      <c r="K39" s="17">
        <v>0.56094420600858375</v>
      </c>
      <c r="L39" s="17">
        <v>0.84683908045977008</v>
      </c>
      <c r="M39" s="17">
        <v>0.97495779403489025</v>
      </c>
      <c r="N39" s="17">
        <v>0.96649373108517078</v>
      </c>
      <c r="O39" s="17">
        <v>0.96649373108517078</v>
      </c>
      <c r="P39" s="17">
        <v>0</v>
      </c>
      <c r="Q39" s="19">
        <v>9665</v>
      </c>
    </row>
    <row r="40" spans="1:17" x14ac:dyDescent="0.35">
      <c r="A40" s="11">
        <v>24</v>
      </c>
      <c r="B40" s="12" t="s">
        <v>41</v>
      </c>
      <c r="C40" s="17">
        <v>8.0916030534351147E-2</v>
      </c>
      <c r="D40" s="17">
        <v>8.0916030534351147E-2</v>
      </c>
      <c r="E40" s="17">
        <v>0.1385584324702589</v>
      </c>
      <c r="F40" s="17">
        <v>0.1059459459459459</v>
      </c>
      <c r="G40" s="17">
        <v>9.766022380467955E-2</v>
      </c>
      <c r="H40" s="14"/>
      <c r="I40" s="15">
        <v>-7.820707123134063E-2</v>
      </c>
      <c r="J40" s="17">
        <v>0</v>
      </c>
      <c r="K40" s="17">
        <v>8.3690987124463517E-2</v>
      </c>
      <c r="L40" s="17">
        <v>0.1117816091954023</v>
      </c>
      <c r="M40" s="17">
        <v>0.1124085537422622</v>
      </c>
      <c r="N40" s="17">
        <v>0.1078685689580631</v>
      </c>
      <c r="O40" s="17">
        <v>0.1078685689580631</v>
      </c>
      <c r="P40" s="17">
        <v>0</v>
      </c>
      <c r="Q40" s="16" t="e">
        <v>#DIV/0!</v>
      </c>
    </row>
    <row r="41" spans="1:17" x14ac:dyDescent="0.35">
      <c r="A41" s="11"/>
      <c r="B41" s="12" t="s">
        <v>42</v>
      </c>
      <c r="C41" s="13">
        <v>37211.75</v>
      </c>
      <c r="D41" s="13">
        <v>37211.75</v>
      </c>
      <c r="E41" s="13">
        <v>32722.81</v>
      </c>
      <c r="F41" s="13">
        <v>3275.42</v>
      </c>
      <c r="G41" s="13">
        <v>12726.27</v>
      </c>
      <c r="H41" s="14"/>
      <c r="I41" s="15">
        <v>2.8853856909953532</v>
      </c>
      <c r="J41" s="13">
        <v>0</v>
      </c>
      <c r="K41" s="13">
        <v>371650.03</v>
      </c>
      <c r="L41" s="13">
        <v>466428.33</v>
      </c>
      <c r="M41" s="13">
        <v>262881.75</v>
      </c>
      <c r="N41" s="13">
        <v>31662.68</v>
      </c>
      <c r="O41" s="13">
        <v>31662.68</v>
      </c>
      <c r="P41" s="13">
        <v>0</v>
      </c>
      <c r="Q41" s="16" t="e">
        <v>#DIV/0!</v>
      </c>
    </row>
    <row r="42" spans="1:17" x14ac:dyDescent="0.35">
      <c r="A42" s="11"/>
      <c r="B42" s="12" t="s">
        <v>43</v>
      </c>
      <c r="C42" s="13">
        <v>33114.47</v>
      </c>
      <c r="D42" s="13">
        <v>33114.47</v>
      </c>
      <c r="E42" s="13">
        <v>22546.48</v>
      </c>
      <c r="F42" s="13">
        <v>17002.59</v>
      </c>
      <c r="G42" s="13">
        <v>114322.13</v>
      </c>
      <c r="H42" s="14"/>
      <c r="I42" s="15">
        <v>5.7238067847310328</v>
      </c>
      <c r="J42" s="13">
        <v>0</v>
      </c>
      <c r="K42" s="13">
        <v>156097.72</v>
      </c>
      <c r="L42" s="13">
        <v>248463.31</v>
      </c>
      <c r="M42" s="13">
        <v>55660.95</v>
      </c>
      <c r="N42" s="13">
        <v>131324.72</v>
      </c>
      <c r="O42" s="13">
        <v>131324.72</v>
      </c>
      <c r="P42" s="13">
        <v>0</v>
      </c>
      <c r="Q42" s="16" t="e">
        <v>#DIV/0!</v>
      </c>
    </row>
    <row r="43" spans="1:17" x14ac:dyDescent="0.35">
      <c r="A43" s="11">
        <v>25</v>
      </c>
      <c r="B43" s="12" t="s">
        <v>44</v>
      </c>
      <c r="C43" s="17">
        <v>4.8150488393276042E-2</v>
      </c>
      <c r="D43" s="17">
        <v>4.8150488393276042E-2</v>
      </c>
      <c r="E43" s="17">
        <v>4.2313225199913457E-2</v>
      </c>
      <c r="F43" s="17">
        <v>2.8291378726153261E-3</v>
      </c>
      <c r="G43" s="17">
        <v>1.0358876922303769E-2</v>
      </c>
      <c r="H43" s="14"/>
      <c r="I43" s="18">
        <v>76</v>
      </c>
      <c r="J43" s="17">
        <v>0</v>
      </c>
      <c r="K43" s="17">
        <v>8.7913886967299668E-2</v>
      </c>
      <c r="L43" s="17">
        <v>0.1096669674801232</v>
      </c>
      <c r="M43" s="17">
        <v>6.2182522318588111E-2</v>
      </c>
      <c r="N43" s="17">
        <v>1.1234259897889081E-2</v>
      </c>
      <c r="O43" s="17">
        <v>1.1234259897889081E-2</v>
      </c>
      <c r="P43" s="17">
        <v>0</v>
      </c>
      <c r="Q43" s="19">
        <v>113</v>
      </c>
    </row>
    <row r="44" spans="1:17" x14ac:dyDescent="0.35">
      <c r="A44" s="11">
        <v>26</v>
      </c>
      <c r="B44" s="12" t="s">
        <v>45</v>
      </c>
      <c r="C44" s="17">
        <v>4.2848775007477143E-2</v>
      </c>
      <c r="D44" s="17">
        <v>4.2848775007477143E-2</v>
      </c>
      <c r="E44" s="17">
        <v>2.9154412035682298E-2</v>
      </c>
      <c r="F44" s="17">
        <v>1.468595517568758E-2</v>
      </c>
      <c r="G44" s="17">
        <v>9.3055457267967087E-2</v>
      </c>
      <c r="H44" s="14"/>
      <c r="I44" s="18">
        <v>784</v>
      </c>
      <c r="J44" s="17">
        <v>0</v>
      </c>
      <c r="K44" s="17">
        <v>3.6924946062652522E-2</v>
      </c>
      <c r="L44" s="17">
        <v>5.8418873780187792E-2</v>
      </c>
      <c r="M44" s="17">
        <v>1.316614129983849E-2</v>
      </c>
      <c r="N44" s="17">
        <v>4.6595425134496257E-2</v>
      </c>
      <c r="O44" s="17">
        <v>4.6595425134496257E-2</v>
      </c>
      <c r="P44" s="17">
        <v>0</v>
      </c>
      <c r="Q44" s="19">
        <v>466</v>
      </c>
    </row>
    <row r="45" spans="1:17" x14ac:dyDescent="0.35">
      <c r="A45" s="11"/>
      <c r="B45" s="12" t="s">
        <v>46</v>
      </c>
      <c r="C45" s="13">
        <v>1233</v>
      </c>
      <c r="D45" s="13">
        <v>1233</v>
      </c>
      <c r="E45" s="13">
        <v>1119</v>
      </c>
      <c r="F45" s="13">
        <v>1548</v>
      </c>
      <c r="G45" s="13">
        <v>1909</v>
      </c>
      <c r="H45" s="14"/>
      <c r="I45" s="15">
        <v>0.23320413436692511</v>
      </c>
      <c r="J45" s="13">
        <v>291</v>
      </c>
      <c r="K45" s="13">
        <v>5261</v>
      </c>
      <c r="L45" s="13">
        <v>5654</v>
      </c>
      <c r="M45" s="13">
        <v>6317</v>
      </c>
      <c r="N45" s="13">
        <v>4045</v>
      </c>
      <c r="O45" s="13">
        <v>4045</v>
      </c>
      <c r="P45" s="13">
        <v>966</v>
      </c>
      <c r="Q45" s="16">
        <v>3.1873706004140789</v>
      </c>
    </row>
    <row r="46" spans="1:17" x14ac:dyDescent="0.35">
      <c r="A46" s="11"/>
      <c r="B46" s="12" t="s">
        <v>47</v>
      </c>
      <c r="C46" s="13">
        <v>1236</v>
      </c>
      <c r="D46" s="13">
        <v>1236</v>
      </c>
      <c r="E46" s="13">
        <v>1125</v>
      </c>
      <c r="F46" s="13">
        <v>1552</v>
      </c>
      <c r="G46" s="13">
        <v>1916</v>
      </c>
      <c r="H46" s="14"/>
      <c r="I46" s="15">
        <v>0.23453608247422686</v>
      </c>
      <c r="J46" s="13">
        <v>291</v>
      </c>
      <c r="K46" s="13">
        <v>5388</v>
      </c>
      <c r="L46" s="13">
        <v>5721</v>
      </c>
      <c r="M46" s="13">
        <v>6352</v>
      </c>
      <c r="N46" s="13">
        <v>4056</v>
      </c>
      <c r="O46" s="13">
        <v>4056</v>
      </c>
      <c r="P46" s="13">
        <v>966</v>
      </c>
      <c r="Q46" s="16">
        <v>3.1987577639751557</v>
      </c>
    </row>
    <row r="47" spans="1:17" x14ac:dyDescent="0.35">
      <c r="A47" s="11"/>
      <c r="B47" s="12" t="s">
        <v>48</v>
      </c>
      <c r="C47" s="13">
        <v>1414</v>
      </c>
      <c r="D47" s="13">
        <v>1414</v>
      </c>
      <c r="E47" s="13">
        <v>1513</v>
      </c>
      <c r="F47" s="13">
        <v>1957</v>
      </c>
      <c r="G47" s="13">
        <v>2162</v>
      </c>
      <c r="H47" s="14"/>
      <c r="I47" s="15">
        <v>0.10475217169136442</v>
      </c>
      <c r="J47" s="13">
        <v>784</v>
      </c>
      <c r="K47" s="13">
        <v>7518</v>
      </c>
      <c r="L47" s="13">
        <v>7502</v>
      </c>
      <c r="M47" s="13">
        <v>7698</v>
      </c>
      <c r="N47" s="13">
        <v>4978</v>
      </c>
      <c r="O47" s="13">
        <v>4978</v>
      </c>
      <c r="P47" s="13">
        <v>1902</v>
      </c>
      <c r="Q47" s="16">
        <v>1.6172450052576237</v>
      </c>
    </row>
    <row r="48" spans="1:17" x14ac:dyDescent="0.35">
      <c r="A48" s="11">
        <v>27</v>
      </c>
      <c r="B48" s="12" t="s">
        <v>49</v>
      </c>
      <c r="C48" s="17">
        <v>0.87199434229137196</v>
      </c>
      <c r="D48" s="17">
        <v>0.87199434229137196</v>
      </c>
      <c r="E48" s="17">
        <v>0.73959021810971581</v>
      </c>
      <c r="F48" s="17">
        <v>0.79100664282064381</v>
      </c>
      <c r="G48" s="17">
        <v>0.88297872340425532</v>
      </c>
      <c r="H48" s="14"/>
      <c r="I48" s="18">
        <v>920</v>
      </c>
      <c r="J48" s="17">
        <v>0.37117346938775508</v>
      </c>
      <c r="K48" s="17">
        <v>0.69978717744080876</v>
      </c>
      <c r="L48" s="17">
        <v>0.75366568914956011</v>
      </c>
      <c r="M48" s="17">
        <v>0.82060275396206805</v>
      </c>
      <c r="N48" s="17">
        <v>0.81257533145841698</v>
      </c>
      <c r="O48" s="17">
        <v>0.81257533145841698</v>
      </c>
      <c r="P48" s="17">
        <v>0.50788643533123023</v>
      </c>
      <c r="Q48" s="19">
        <v>3047</v>
      </c>
    </row>
    <row r="49" spans="1:17" x14ac:dyDescent="0.35">
      <c r="A49" s="11">
        <v>28</v>
      </c>
      <c r="B49" s="12" t="s">
        <v>50</v>
      </c>
      <c r="C49" s="17">
        <v>0.8741159830268741</v>
      </c>
      <c r="D49" s="17">
        <v>0.8741159830268741</v>
      </c>
      <c r="E49" s="17">
        <v>0.74355584930601459</v>
      </c>
      <c r="F49" s="17">
        <v>0.79305058763413383</v>
      </c>
      <c r="G49" s="17">
        <v>0.88621646623496764</v>
      </c>
      <c r="H49" s="14"/>
      <c r="I49" s="18">
        <v>932</v>
      </c>
      <c r="J49" s="17">
        <v>0.37117346938775508</v>
      </c>
      <c r="K49" s="17">
        <v>0.71667996807661616</v>
      </c>
      <c r="L49" s="17">
        <v>0.76259664089576118</v>
      </c>
      <c r="M49" s="17">
        <v>0.82514938945180571</v>
      </c>
      <c r="N49" s="28">
        <v>0.81478505423865011</v>
      </c>
      <c r="O49" s="28">
        <v>0.81478505423865011</v>
      </c>
      <c r="P49" s="28">
        <v>0.50788643533123023</v>
      </c>
      <c r="Q49" s="29">
        <v>3069</v>
      </c>
    </row>
    <row r="50" spans="1:17" x14ac:dyDescent="0.35">
      <c r="A50" s="11">
        <v>29</v>
      </c>
      <c r="B50" s="12" t="s">
        <v>51</v>
      </c>
      <c r="C50" s="13">
        <v>109</v>
      </c>
      <c r="D50" s="13">
        <v>109</v>
      </c>
      <c r="E50" s="13">
        <v>103</v>
      </c>
      <c r="F50" s="13">
        <v>105</v>
      </c>
      <c r="G50" s="13">
        <v>105</v>
      </c>
      <c r="H50" s="14"/>
      <c r="I50" s="20">
        <v>0</v>
      </c>
      <c r="J50" s="13">
        <v>116</v>
      </c>
      <c r="K50" s="13">
        <v>135</v>
      </c>
      <c r="L50" s="13">
        <v>123</v>
      </c>
      <c r="M50" s="21">
        <v>111</v>
      </c>
      <c r="N50" s="22"/>
      <c r="O50" s="22"/>
      <c r="P50" s="22"/>
      <c r="Q50" s="23"/>
    </row>
    <row r="51" spans="1:17" x14ac:dyDescent="0.35">
      <c r="A51" s="11">
        <v>30</v>
      </c>
      <c r="B51" s="12" t="s">
        <v>52</v>
      </c>
      <c r="C51" s="13">
        <v>52</v>
      </c>
      <c r="D51" s="13">
        <v>52</v>
      </c>
      <c r="E51" s="13">
        <v>57</v>
      </c>
      <c r="F51" s="13">
        <v>57</v>
      </c>
      <c r="G51" s="13">
        <v>57</v>
      </c>
      <c r="H51" s="14"/>
      <c r="I51" s="20">
        <v>0</v>
      </c>
      <c r="J51" s="13">
        <v>51</v>
      </c>
      <c r="K51" s="13">
        <v>64</v>
      </c>
      <c r="L51" s="13">
        <v>61</v>
      </c>
      <c r="M51" s="21">
        <v>57</v>
      </c>
      <c r="N51" s="22"/>
      <c r="O51" s="22"/>
      <c r="P51" s="22"/>
      <c r="Q51" s="23"/>
    </row>
    <row r="52" spans="1:17" x14ac:dyDescent="0.35">
      <c r="A52" s="11">
        <v>31</v>
      </c>
      <c r="B52" s="12" t="s">
        <v>53</v>
      </c>
      <c r="C52" s="13">
        <v>108</v>
      </c>
      <c r="D52" s="13">
        <v>108</v>
      </c>
      <c r="E52" s="13">
        <v>108</v>
      </c>
      <c r="F52" s="13">
        <v>106</v>
      </c>
      <c r="G52" s="13">
        <v>105</v>
      </c>
      <c r="H52" s="14"/>
      <c r="I52" s="20">
        <v>-1</v>
      </c>
      <c r="J52" s="13">
        <v>114</v>
      </c>
      <c r="K52" s="13">
        <v>134</v>
      </c>
      <c r="L52" s="13">
        <v>122</v>
      </c>
      <c r="M52" s="21">
        <v>109</v>
      </c>
      <c r="N52" s="22"/>
      <c r="O52" s="22"/>
      <c r="P52" s="22"/>
      <c r="Q52" s="23"/>
    </row>
    <row r="53" spans="1:17" x14ac:dyDescent="0.35">
      <c r="A53" s="11"/>
      <c r="B53" s="12" t="s">
        <v>54</v>
      </c>
      <c r="C53" s="13">
        <v>14</v>
      </c>
      <c r="D53" s="13">
        <v>14</v>
      </c>
      <c r="E53" s="13">
        <v>13</v>
      </c>
      <c r="F53" s="13">
        <v>13</v>
      </c>
      <c r="G53" s="13">
        <v>13</v>
      </c>
      <c r="H53" s="14"/>
      <c r="I53" s="20">
        <v>0</v>
      </c>
      <c r="J53" s="13">
        <v>0</v>
      </c>
      <c r="K53" s="13">
        <v>29</v>
      </c>
      <c r="L53" s="13">
        <v>20</v>
      </c>
      <c r="M53" s="21">
        <v>16</v>
      </c>
      <c r="N53" s="22"/>
      <c r="O53" s="22"/>
      <c r="P53" s="22"/>
      <c r="Q53" s="23"/>
    </row>
    <row r="54" spans="1:17" x14ac:dyDescent="0.35">
      <c r="A54" s="11"/>
      <c r="B54" s="12" t="s">
        <v>55</v>
      </c>
      <c r="C54" s="13">
        <v>56</v>
      </c>
      <c r="D54" s="13">
        <v>56</v>
      </c>
      <c r="E54" s="13">
        <v>59</v>
      </c>
      <c r="F54" s="13">
        <v>59</v>
      </c>
      <c r="G54" s="13">
        <v>59</v>
      </c>
      <c r="H54" s="14"/>
      <c r="I54" s="20">
        <v>0</v>
      </c>
      <c r="J54" s="13">
        <v>51</v>
      </c>
      <c r="K54" s="13">
        <v>72</v>
      </c>
      <c r="L54" s="13">
        <v>67</v>
      </c>
      <c r="M54" s="21">
        <v>61</v>
      </c>
      <c r="N54" s="22"/>
      <c r="O54" s="22"/>
      <c r="P54" s="22"/>
      <c r="Q54" s="23"/>
    </row>
    <row r="55" spans="1:17" x14ac:dyDescent="0.35">
      <c r="A55" s="11"/>
      <c r="B55" s="12" t="s">
        <v>56</v>
      </c>
      <c r="C55" s="13">
        <v>94</v>
      </c>
      <c r="D55" s="13">
        <v>94</v>
      </c>
      <c r="E55" s="13">
        <v>95</v>
      </c>
      <c r="F55" s="13">
        <v>87</v>
      </c>
      <c r="G55" s="13">
        <v>89</v>
      </c>
      <c r="H55" s="14"/>
      <c r="I55" s="20">
        <v>2</v>
      </c>
      <c r="J55" s="30">
        <v>98</v>
      </c>
      <c r="K55" s="30">
        <v>131</v>
      </c>
      <c r="L55" s="30">
        <v>119</v>
      </c>
      <c r="M55" s="31">
        <v>108</v>
      </c>
      <c r="N55" s="22"/>
      <c r="O55" s="22"/>
      <c r="P55" s="22"/>
      <c r="Q55" s="23"/>
    </row>
    <row r="56" spans="1:17" x14ac:dyDescent="0.35">
      <c r="A56" s="11">
        <v>32</v>
      </c>
      <c r="B56" s="12" t="s">
        <v>57</v>
      </c>
      <c r="C56" s="13">
        <v>14</v>
      </c>
      <c r="D56" s="13">
        <v>14</v>
      </c>
      <c r="E56" s="13">
        <v>14</v>
      </c>
      <c r="F56" s="13">
        <v>15</v>
      </c>
      <c r="G56" s="13">
        <v>17</v>
      </c>
      <c r="H56" s="14"/>
      <c r="I56" s="16">
        <v>0.1333333333333333</v>
      </c>
      <c r="J56" s="22"/>
      <c r="K56" s="22"/>
      <c r="L56" s="22"/>
      <c r="M56" s="22"/>
      <c r="N56" s="22"/>
      <c r="O56" s="22"/>
      <c r="P56" s="22"/>
      <c r="Q56" s="32"/>
    </row>
    <row r="57" spans="1:17" x14ac:dyDescent="0.35">
      <c r="A57" s="11"/>
      <c r="B57" s="12" t="s">
        <v>58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4"/>
      <c r="I57" s="15" t="e">
        <v>#DIV/0!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7" t="e">
        <v>#DIV/0!</v>
      </c>
    </row>
    <row r="58" spans="1:17" x14ac:dyDescent="0.35">
      <c r="A58" s="11"/>
      <c r="B58" s="12" t="s">
        <v>30</v>
      </c>
      <c r="C58" s="13">
        <v>274</v>
      </c>
      <c r="D58" s="13">
        <v>274</v>
      </c>
      <c r="E58" s="13">
        <v>232</v>
      </c>
      <c r="F58" s="13">
        <v>299</v>
      </c>
      <c r="G58" s="13">
        <v>316</v>
      </c>
      <c r="H58" s="14"/>
      <c r="I58" s="15">
        <v>5.6856187290969862E-2</v>
      </c>
      <c r="J58" s="13">
        <v>156</v>
      </c>
      <c r="K58" s="13">
        <v>1373</v>
      </c>
      <c r="L58" s="13">
        <v>1314</v>
      </c>
      <c r="M58" s="13">
        <v>1358</v>
      </c>
      <c r="N58" s="13">
        <v>742</v>
      </c>
      <c r="O58" s="13">
        <v>742</v>
      </c>
      <c r="P58" s="13">
        <v>394</v>
      </c>
      <c r="Q58" s="16">
        <v>0.88324873096446699</v>
      </c>
    </row>
    <row r="59" spans="1:17" x14ac:dyDescent="0.35">
      <c r="A59" s="11">
        <v>33</v>
      </c>
      <c r="B59" s="12" t="s">
        <v>59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4"/>
      <c r="I59" s="18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9">
        <v>0</v>
      </c>
    </row>
    <row r="60" spans="1:17" x14ac:dyDescent="0.35">
      <c r="A60" s="11"/>
      <c r="B60" s="12" t="s">
        <v>60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4"/>
      <c r="I60" s="15" t="e">
        <v>#DIV/0!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6" t="e">
        <v>#DIV/0!</v>
      </c>
    </row>
    <row r="61" spans="1:17" x14ac:dyDescent="0.35">
      <c r="A61" s="11"/>
      <c r="B61" s="12" t="s">
        <v>30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4"/>
      <c r="I61" s="15" t="e">
        <v>#DIV/0!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6" t="e">
        <v>#DIV/0!</v>
      </c>
    </row>
    <row r="62" spans="1:17" x14ac:dyDescent="0.35">
      <c r="A62" s="11">
        <v>34</v>
      </c>
      <c r="B62" s="12" t="s">
        <v>61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4"/>
      <c r="I62" s="18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9">
        <v>0</v>
      </c>
    </row>
    <row r="63" spans="1:17" x14ac:dyDescent="0.35">
      <c r="A63" s="11"/>
      <c r="B63" s="12" t="s">
        <v>62</v>
      </c>
      <c r="C63" s="13">
        <v>18375</v>
      </c>
      <c r="D63" s="13">
        <v>18375</v>
      </c>
      <c r="E63" s="13">
        <v>14288</v>
      </c>
      <c r="F63" s="13">
        <v>27383</v>
      </c>
      <c r="G63" s="13">
        <v>28228</v>
      </c>
      <c r="H63" s="14"/>
      <c r="I63" s="15">
        <v>3.085856188145919E-2</v>
      </c>
      <c r="J63" s="13">
        <v>6403</v>
      </c>
      <c r="K63" s="13">
        <v>81149</v>
      </c>
      <c r="L63" s="13">
        <v>94971</v>
      </c>
      <c r="M63" s="13">
        <v>99933</v>
      </c>
      <c r="N63" s="13">
        <v>66233</v>
      </c>
      <c r="O63" s="13">
        <v>66233</v>
      </c>
      <c r="P63" s="13">
        <v>16866</v>
      </c>
      <c r="Q63" s="16">
        <v>2.9270129254120718</v>
      </c>
    </row>
    <row r="64" spans="1:17" x14ac:dyDescent="0.35">
      <c r="A64" s="11">
        <v>35</v>
      </c>
      <c r="B64" s="12" t="s">
        <v>63</v>
      </c>
      <c r="C64" s="13">
        <v>137779.29579999999</v>
      </c>
      <c r="D64" s="13">
        <v>137779.29579999999</v>
      </c>
      <c r="E64" s="13">
        <v>107754.9485</v>
      </c>
      <c r="F64" s="13">
        <v>209037.40109999999</v>
      </c>
      <c r="G64" s="13">
        <v>204539.31570000001</v>
      </c>
      <c r="H64" s="14"/>
      <c r="I64" s="15">
        <v>-2.1518088994266549E-2</v>
      </c>
      <c r="J64" s="13">
        <v>66181.69</v>
      </c>
      <c r="K64" s="13">
        <v>675751.41989999998</v>
      </c>
      <c r="L64" s="13">
        <v>735696.64549999998</v>
      </c>
      <c r="M64" s="13">
        <v>762239.85820000002</v>
      </c>
      <c r="N64" s="13">
        <v>495200.4411</v>
      </c>
      <c r="O64" s="13">
        <v>495200.4411</v>
      </c>
      <c r="P64" s="13">
        <v>175141.86</v>
      </c>
      <c r="Q64" s="16">
        <v>1.8274248149471521</v>
      </c>
    </row>
    <row r="65" spans="1:17" x14ac:dyDescent="0.35">
      <c r="A65" s="11"/>
      <c r="B65" s="12" t="s">
        <v>64</v>
      </c>
      <c r="C65" s="13">
        <v>335671.06</v>
      </c>
      <c r="D65" s="13">
        <v>335671.06</v>
      </c>
      <c r="E65" s="13">
        <v>285166.46999999997</v>
      </c>
      <c r="F65" s="13">
        <v>532595.42000000004</v>
      </c>
      <c r="G65" s="13">
        <v>514816.29</v>
      </c>
      <c r="H65" s="14"/>
      <c r="I65" s="15">
        <v>-3.3382055745053263E-2</v>
      </c>
      <c r="J65" s="13">
        <v>53146.27</v>
      </c>
      <c r="K65" s="13">
        <v>1043631.47</v>
      </c>
      <c r="L65" s="13">
        <v>1583173.42</v>
      </c>
      <c r="M65" s="13">
        <v>1894245.96</v>
      </c>
      <c r="N65" s="13">
        <v>1233168.75</v>
      </c>
      <c r="O65" s="13">
        <v>1233168.75</v>
      </c>
      <c r="P65" s="13">
        <v>178199.3</v>
      </c>
      <c r="Q65" s="16">
        <v>5.9201660724817664</v>
      </c>
    </row>
    <row r="66" spans="1:17" x14ac:dyDescent="0.35">
      <c r="A66" s="11"/>
      <c r="B66" s="12" t="s">
        <v>65</v>
      </c>
      <c r="C66" s="17">
        <v>0.41045926270796168</v>
      </c>
      <c r="D66" s="17">
        <v>0.41045926270796168</v>
      </c>
      <c r="E66" s="17">
        <v>0.37786682459547227</v>
      </c>
      <c r="F66" s="17">
        <v>0.39248816878673121</v>
      </c>
      <c r="G66" s="17">
        <v>0.39730544598734441</v>
      </c>
      <c r="H66" s="14"/>
      <c r="I66" s="18">
        <v>49</v>
      </c>
      <c r="J66" s="17">
        <v>1.2452744096622399</v>
      </c>
      <c r="K66" s="17">
        <v>0.64750004127414829</v>
      </c>
      <c r="L66" s="17">
        <v>0.46469744641114552</v>
      </c>
      <c r="M66" s="17">
        <v>0.40239751030008802</v>
      </c>
      <c r="N66" s="17">
        <v>0.40156745871155097</v>
      </c>
      <c r="O66" s="17">
        <v>0.40156745871155097</v>
      </c>
      <c r="P66" s="17">
        <v>0.98284258131204782</v>
      </c>
      <c r="Q66" s="19">
        <v>-5813</v>
      </c>
    </row>
    <row r="67" spans="1:17" x14ac:dyDescent="0.35">
      <c r="A67" s="11">
        <v>36</v>
      </c>
      <c r="B67" s="12" t="s">
        <v>66</v>
      </c>
      <c r="C67" s="17">
        <v>0.1808336671537091</v>
      </c>
      <c r="D67" s="17">
        <v>0.1808336671537091</v>
      </c>
      <c r="E67" s="17">
        <v>0.1673028102041364</v>
      </c>
      <c r="F67" s="17">
        <v>0.1923717904391393</v>
      </c>
      <c r="G67" s="17">
        <v>0.18313365591789199</v>
      </c>
      <c r="H67" s="14"/>
      <c r="I67" s="18">
        <v>-93</v>
      </c>
      <c r="J67" s="17">
        <v>0.19471508273708629</v>
      </c>
      <c r="K67" s="17">
        <v>0.17740804275249969</v>
      </c>
      <c r="L67" s="17">
        <v>0.19005898360327039</v>
      </c>
      <c r="M67" s="17">
        <v>0.19958344389774829</v>
      </c>
      <c r="N67" s="17">
        <v>0.19387159176335561</v>
      </c>
      <c r="O67" s="17">
        <v>0.19387159176335561</v>
      </c>
      <c r="P67" s="17">
        <v>0.21034780846129431</v>
      </c>
      <c r="Q67" s="19">
        <v>-165</v>
      </c>
    </row>
    <row r="68" spans="1:17" x14ac:dyDescent="0.35">
      <c r="A68" s="11"/>
      <c r="B68" s="12" t="s">
        <v>67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4"/>
      <c r="I68" s="15" t="e">
        <v>#DIV/0!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6" t="e">
        <v>#DIV/0!</v>
      </c>
    </row>
    <row r="69" spans="1:17" x14ac:dyDescent="0.35">
      <c r="A69" s="11"/>
      <c r="B69" s="12" t="s">
        <v>10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4"/>
      <c r="I69" s="15" t="e">
        <v>#DIV/0!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6" t="e">
        <v>#DIV/0!</v>
      </c>
    </row>
    <row r="70" spans="1:17" x14ac:dyDescent="0.35">
      <c r="A70" s="11"/>
      <c r="B70" s="12" t="s">
        <v>68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4"/>
      <c r="I70" s="18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9">
        <v>0</v>
      </c>
    </row>
    <row r="71" spans="1:17" x14ac:dyDescent="0.35">
      <c r="A71" s="11"/>
      <c r="B71" s="12" t="s">
        <v>69</v>
      </c>
      <c r="C71" s="13">
        <v>4809.7890040962793</v>
      </c>
      <c r="D71" s="13">
        <v>4809.7890040962793</v>
      </c>
      <c r="E71" s="13">
        <v>3217.5085123957829</v>
      </c>
      <c r="F71" s="13">
        <v>442.49743568779422</v>
      </c>
      <c r="G71" s="13">
        <v>291.46606494661768</v>
      </c>
      <c r="H71" s="14"/>
      <c r="I71" s="16">
        <v>-0.34131581012762591</v>
      </c>
      <c r="J71" s="13">
        <v>6708.0777306552782</v>
      </c>
      <c r="K71" s="13">
        <v>0</v>
      </c>
      <c r="L71" s="13">
        <v>42541.09384811479</v>
      </c>
      <c r="M71" s="13">
        <v>15679.01518725558</v>
      </c>
      <c r="N71" s="13">
        <v>975.74205619758311</v>
      </c>
      <c r="O71" s="13">
        <v>975.74205619758311</v>
      </c>
      <c r="P71" s="13">
        <v>66797.874717299099</v>
      </c>
      <c r="Q71" s="16">
        <v>-0.98539261824830349</v>
      </c>
    </row>
    <row r="72" spans="1:17" x14ac:dyDescent="0.35">
      <c r="A72" s="11"/>
      <c r="B72" s="12" t="s">
        <v>70</v>
      </c>
      <c r="C72" s="13">
        <v>10708.305022803141</v>
      </c>
      <c r="D72" s="13">
        <v>10708.305022803141</v>
      </c>
      <c r="E72" s="13">
        <v>9964.3434030445751</v>
      </c>
      <c r="F72" s="13">
        <v>5509.3890455935934</v>
      </c>
      <c r="G72" s="13">
        <v>4185.8896608347804</v>
      </c>
      <c r="H72" s="14"/>
      <c r="I72" s="16">
        <v>-0.24022616188583512</v>
      </c>
      <c r="J72" s="13">
        <v>812.27539109759357</v>
      </c>
      <c r="K72" s="13">
        <v>0</v>
      </c>
      <c r="L72" s="13">
        <v>36294.448564390193</v>
      </c>
      <c r="M72" s="13">
        <v>46572.100742667877</v>
      </c>
      <c r="N72" s="13">
        <v>13288.252663746691</v>
      </c>
      <c r="O72" s="13">
        <v>13288.252663746691</v>
      </c>
      <c r="P72" s="13">
        <v>34584.824392800067</v>
      </c>
      <c r="Q72" s="16">
        <v>-0.61577793448293283</v>
      </c>
    </row>
    <row r="73" spans="1:17" x14ac:dyDescent="0.35">
      <c r="A73" s="11"/>
      <c r="B73" s="12" t="s">
        <v>71</v>
      </c>
      <c r="C73" s="13">
        <v>5541.8185269862142</v>
      </c>
      <c r="D73" s="13">
        <v>5541.8185269862142</v>
      </c>
      <c r="E73" s="13">
        <v>15423.078419444269</v>
      </c>
      <c r="F73" s="13">
        <v>4255.1140125798038</v>
      </c>
      <c r="G73" s="13">
        <v>4054.3667210973231</v>
      </c>
      <c r="H73" s="14"/>
      <c r="I73" s="16">
        <v>-4.7177887804884189E-2</v>
      </c>
      <c r="J73" s="13">
        <v>5957.9273926930837</v>
      </c>
      <c r="K73" s="13">
        <v>37678.917586659969</v>
      </c>
      <c r="L73" s="13">
        <v>43408.458851725351</v>
      </c>
      <c r="M73" s="13">
        <v>28158.674583473901</v>
      </c>
      <c r="N73" s="13">
        <v>14179.73982011933</v>
      </c>
      <c r="O73" s="13">
        <v>14179.73982011933</v>
      </c>
      <c r="P73" s="13">
        <v>42837.175139269923</v>
      </c>
      <c r="Q73" s="16">
        <v>-0.66898517995131745</v>
      </c>
    </row>
    <row r="74" spans="1:17" x14ac:dyDescent="0.35">
      <c r="A74" s="11"/>
      <c r="B74" s="12" t="s">
        <v>72</v>
      </c>
      <c r="C74" s="13">
        <v>58233.094026899424</v>
      </c>
      <c r="D74" s="13">
        <v>58233.094026899424</v>
      </c>
      <c r="E74" s="13">
        <v>61714.851915440348</v>
      </c>
      <c r="F74" s="13">
        <v>74453.886481281384</v>
      </c>
      <c r="G74" s="13">
        <v>69605.355725781395</v>
      </c>
      <c r="H74" s="14"/>
      <c r="I74" s="16">
        <v>-6.5121258065137688E-2</v>
      </c>
      <c r="J74" s="13">
        <v>29145.353121752869</v>
      </c>
      <c r="K74" s="13">
        <v>0</v>
      </c>
      <c r="L74" s="13">
        <v>333503.54241250502</v>
      </c>
      <c r="M74" s="13">
        <v>304223.11592992349</v>
      </c>
      <c r="N74" s="13">
        <v>179098.99471994431</v>
      </c>
      <c r="O74" s="13">
        <v>179098.99471994431</v>
      </c>
      <c r="P74" s="13">
        <v>442150.69911009917</v>
      </c>
      <c r="Q74" s="16">
        <v>-0.59493676006752805</v>
      </c>
    </row>
    <row r="75" spans="1:17" x14ac:dyDescent="0.35">
      <c r="A75" s="11">
        <v>37</v>
      </c>
      <c r="B75" s="12" t="s">
        <v>73</v>
      </c>
      <c r="C75" s="17">
        <v>8.259545683549821E-2</v>
      </c>
      <c r="D75" s="17">
        <v>8.259545683549821E-2</v>
      </c>
      <c r="E75" s="17">
        <v>5.2135076282842037E-2</v>
      </c>
      <c r="F75" s="17">
        <v>5.9432416036339954E-3</v>
      </c>
      <c r="G75" s="17">
        <v>4.1874085967591786E-3</v>
      </c>
      <c r="H75" s="14"/>
      <c r="I75" s="19">
        <v>-18</v>
      </c>
      <c r="J75" s="17">
        <v>0.23015942550542129</v>
      </c>
      <c r="K75" s="17">
        <v>0</v>
      </c>
      <c r="L75" s="17">
        <v>0.12755814688018041</v>
      </c>
      <c r="M75" s="17">
        <v>5.1537882449626787E-2</v>
      </c>
      <c r="N75" s="17">
        <v>5.4480599275464588E-3</v>
      </c>
      <c r="O75" s="17">
        <v>5.4480599275464588E-3</v>
      </c>
      <c r="P75" s="17">
        <v>0.15107490466879461</v>
      </c>
      <c r="Q75" s="19">
        <v>-1457</v>
      </c>
    </row>
    <row r="76" spans="1:17" x14ac:dyDescent="0.35">
      <c r="A76" s="11">
        <v>38</v>
      </c>
      <c r="B76" s="12" t="s">
        <v>74</v>
      </c>
      <c r="C76" s="17">
        <v>0.18388693236627071</v>
      </c>
      <c r="D76" s="17">
        <v>0.18388693236627071</v>
      </c>
      <c r="E76" s="17">
        <v>0.1614577868014232</v>
      </c>
      <c r="F76" s="17">
        <v>7.3997333194671042E-2</v>
      </c>
      <c r="G76" s="17">
        <v>6.013746524513993E-2</v>
      </c>
      <c r="H76" s="14"/>
      <c r="I76" s="19">
        <v>-139</v>
      </c>
      <c r="J76" s="17">
        <v>2.7869807845674902E-2</v>
      </c>
      <c r="K76" s="17">
        <v>0</v>
      </c>
      <c r="L76" s="17">
        <v>0.1088277752669211</v>
      </c>
      <c r="M76" s="17">
        <v>0.15308534527466869</v>
      </c>
      <c r="N76" s="17">
        <v>7.4195015357430866E-2</v>
      </c>
      <c r="O76" s="17">
        <v>7.4195015357430866E-2</v>
      </c>
      <c r="P76" s="17">
        <v>7.8219540221032557E-2</v>
      </c>
      <c r="Q76" s="19">
        <v>-41</v>
      </c>
    </row>
    <row r="77" spans="1:17" x14ac:dyDescent="0.35">
      <c r="A77" s="11">
        <v>39</v>
      </c>
      <c r="B77" s="12" t="s">
        <v>75</v>
      </c>
      <c r="C77" s="17">
        <v>0.10838933279988069</v>
      </c>
      <c r="D77" s="17">
        <v>0.10838933279988069</v>
      </c>
      <c r="E77" s="17">
        <v>0.24184309118660649</v>
      </c>
      <c r="F77" s="17">
        <v>5.8059291204549543E-2</v>
      </c>
      <c r="G77" s="17">
        <v>5.8314927519354368E-2</v>
      </c>
      <c r="H77" s="14"/>
      <c r="I77" s="19">
        <v>3</v>
      </c>
      <c r="J77" s="17">
        <v>0.1943800041141138</v>
      </c>
      <c r="K77" s="17">
        <v>0.12849133707789909</v>
      </c>
      <c r="L77" s="17">
        <v>0.14107742196126929</v>
      </c>
      <c r="M77" s="17">
        <v>0.1015808071266654</v>
      </c>
      <c r="N77" s="17">
        <v>7.8753695100561613E-2</v>
      </c>
      <c r="O77" s="17">
        <v>7.8753695100561613E-2</v>
      </c>
      <c r="P77" s="17">
        <v>9.8373102931815143E-2</v>
      </c>
      <c r="Q77" s="19">
        <v>-197</v>
      </c>
    </row>
  </sheetData>
  <conditionalFormatting sqref="C9:G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G2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2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G2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2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G3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G3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G39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G4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G4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G48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G4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G5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G6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:G70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:G7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6:G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:G7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">
    <cfRule type="duplicateValues" dxfId="61" priority="79"/>
    <cfRule type="duplicateValues" dxfId="67" priority="80"/>
    <cfRule type="duplicateValues" dxfId="68" priority="81"/>
    <cfRule type="duplicateValues" dxfId="69" priority="82"/>
    <cfRule type="duplicateValues" dxfId="72" priority="83"/>
    <cfRule type="duplicateValues" dxfId="74" priority="84"/>
    <cfRule type="duplicateValues" dxfId="73" priority="85"/>
    <cfRule type="duplicateValues" dxfId="70" priority="86"/>
    <cfRule type="duplicateValues" dxfId="71" priority="87"/>
    <cfRule type="duplicateValues" dxfId="60" priority="88"/>
    <cfRule type="duplicateValues" dxfId="66" priority="89"/>
    <cfRule type="duplicateValues" dxfId="65" priority="90"/>
    <cfRule type="duplicateValues" dxfId="64" priority="91"/>
    <cfRule type="duplicateValues" dxfId="63" priority="92"/>
    <cfRule type="duplicateValues" dxfId="62" priority="93"/>
  </conditionalFormatting>
  <conditionalFormatting sqref="I5:I8 Q5:Q8">
    <cfRule type="cellIs" dxfId="59" priority="3" operator="lessThan">
      <formula>-0.01</formula>
    </cfRule>
    <cfRule type="cellIs" dxfId="58" priority="4" operator="greaterThan">
      <formula>0.01</formula>
    </cfRule>
  </conditionalFormatting>
  <conditionalFormatting sqref="I9">
    <cfRule type="cellIs" dxfId="57" priority="50" operator="lessThan">
      <formula>-100</formula>
    </cfRule>
    <cfRule type="cellIs" dxfId="56" priority="51" operator="greaterThan">
      <formula>100</formula>
    </cfRule>
  </conditionalFormatting>
  <conditionalFormatting sqref="I10:I23">
    <cfRule type="cellIs" dxfId="54" priority="1" operator="lessThan">
      <formula>-0.01</formula>
    </cfRule>
    <cfRule type="cellIs" dxfId="55" priority="2" operator="greaterThan">
      <formula>0.01</formula>
    </cfRule>
  </conditionalFormatting>
  <conditionalFormatting sqref="I24:I26">
    <cfRule type="cellIs" dxfId="52" priority="60" operator="lessThan">
      <formula>-100</formula>
    </cfRule>
    <cfRule type="cellIs" dxfId="53" priority="61" operator="greaterThan">
      <formula>100</formula>
    </cfRule>
  </conditionalFormatting>
  <conditionalFormatting sqref="I29">
    <cfRule type="cellIs" dxfId="51" priority="58" operator="lessThan">
      <formula>-100</formula>
    </cfRule>
    <cfRule type="cellIs" dxfId="50" priority="59" operator="greaterThan">
      <formula>100</formula>
    </cfRule>
  </conditionalFormatting>
  <conditionalFormatting sqref="I32">
    <cfRule type="cellIs" dxfId="49" priority="56" operator="lessThan">
      <formula>-100</formula>
    </cfRule>
    <cfRule type="cellIs" dxfId="48" priority="57" operator="greaterThan">
      <formula>100</formula>
    </cfRule>
  </conditionalFormatting>
  <conditionalFormatting sqref="I35">
    <cfRule type="cellIs" dxfId="47" priority="54" operator="lessThan">
      <formula>-100</formula>
    </cfRule>
    <cfRule type="cellIs" dxfId="46" priority="55" operator="greaterThan">
      <formula>100</formula>
    </cfRule>
  </conditionalFormatting>
  <conditionalFormatting sqref="I39">
    <cfRule type="cellIs" dxfId="44" priority="52" operator="lessThan">
      <formula>-100</formula>
    </cfRule>
    <cfRule type="cellIs" dxfId="45" priority="53" operator="greaterThan">
      <formula>100</formula>
    </cfRule>
  </conditionalFormatting>
  <conditionalFormatting sqref="I43:I44">
    <cfRule type="cellIs" dxfId="42" priority="48" operator="lessThan">
      <formula>-100</formula>
    </cfRule>
    <cfRule type="cellIs" dxfId="43" priority="49" operator="greaterThan">
      <formula>100</formula>
    </cfRule>
  </conditionalFormatting>
  <conditionalFormatting sqref="I48:I49">
    <cfRule type="cellIs" dxfId="40" priority="46" operator="lessThan">
      <formula>-100</formula>
    </cfRule>
    <cfRule type="cellIs" dxfId="41" priority="47" operator="greaterThan">
      <formula>100</formula>
    </cfRule>
  </conditionalFormatting>
  <conditionalFormatting sqref="I59">
    <cfRule type="cellIs" dxfId="38" priority="44" operator="lessThan">
      <formula>-100</formula>
    </cfRule>
    <cfRule type="cellIs" dxfId="39" priority="45" operator="greaterThan">
      <formula>100</formula>
    </cfRule>
  </conditionalFormatting>
  <conditionalFormatting sqref="I62">
    <cfRule type="cellIs" dxfId="36" priority="42" operator="lessThan">
      <formula>-100</formula>
    </cfRule>
    <cfRule type="cellIs" dxfId="37" priority="43" operator="greaterThan">
      <formula>100</formula>
    </cfRule>
  </conditionalFormatting>
  <conditionalFormatting sqref="I66:I67">
    <cfRule type="cellIs" dxfId="34" priority="40" operator="lessThan">
      <formula>-100</formula>
    </cfRule>
    <cfRule type="cellIs" dxfId="35" priority="41" operator="greaterThan">
      <formula>100</formula>
    </cfRule>
  </conditionalFormatting>
  <conditionalFormatting sqref="I70">
    <cfRule type="cellIs" dxfId="32" priority="38" operator="lessThan">
      <formula>-100</formula>
    </cfRule>
    <cfRule type="cellIs" dxfId="33" priority="39" operator="greaterThan">
      <formula>100</formula>
    </cfRule>
  </conditionalFormatting>
  <conditionalFormatting sqref="I71:I77">
    <cfRule type="cellIs" dxfId="31" priority="5" operator="greaterThan">
      <formula>0</formula>
    </cfRule>
    <cfRule type="cellIs" dxfId="30" priority="6" operator="lessThan">
      <formula>0</formula>
    </cfRule>
  </conditionalFormatting>
  <conditionalFormatting sqref="Q9">
    <cfRule type="cellIs" dxfId="28" priority="24" operator="lessThan">
      <formula>-100</formula>
    </cfRule>
    <cfRule type="cellIs" dxfId="29" priority="25" operator="greaterThan">
      <formula>100</formula>
    </cfRule>
  </conditionalFormatting>
  <conditionalFormatting sqref="Q10 I27:I28 I30:I31 I33:I34 I36:I38 I40:I42 Q40:Q42 I45:I47 I50:I58 I60:I61 I63:I65 I68:I69">
    <cfRule type="cellIs" dxfId="27" priority="62" operator="lessThan">
      <formula>-0.01</formula>
    </cfRule>
    <cfRule type="cellIs" dxfId="26" priority="63" operator="greaterThan">
      <formula>0.01</formula>
    </cfRule>
  </conditionalFormatting>
  <conditionalFormatting sqref="Q21:Q23 Q27:Q28 Q30:Q31 Q33:Q34 Q36:Q38 Q45:Q47 Q57:Q58 Q60:Q61 Q63:Q65 Q68:Q69">
    <cfRule type="cellIs" dxfId="25" priority="36" operator="greaterThan">
      <formula>0</formula>
    </cfRule>
    <cfRule type="cellIs" dxfId="24" priority="37" operator="lessThan">
      <formula>0</formula>
    </cfRule>
  </conditionalFormatting>
  <conditionalFormatting sqref="Q24:Q26">
    <cfRule type="cellIs" dxfId="22" priority="34" operator="lessThan">
      <formula>-100</formula>
    </cfRule>
    <cfRule type="cellIs" dxfId="23" priority="35" operator="greaterThan">
      <formula>100</formula>
    </cfRule>
  </conditionalFormatting>
  <conditionalFormatting sqref="Q29">
    <cfRule type="cellIs" dxfId="21" priority="32" operator="lessThan">
      <formula>-100</formula>
    </cfRule>
    <cfRule type="cellIs" dxfId="20" priority="33" operator="greaterThan">
      <formula>100</formula>
    </cfRule>
  </conditionalFormatting>
  <conditionalFormatting sqref="Q32">
    <cfRule type="cellIs" dxfId="19" priority="30" operator="lessThan">
      <formula>-100</formula>
    </cfRule>
    <cfRule type="cellIs" dxfId="18" priority="31" operator="greaterThan">
      <formula>100</formula>
    </cfRule>
  </conditionalFormatting>
  <conditionalFormatting sqref="Q35">
    <cfRule type="cellIs" dxfId="17" priority="28" operator="lessThan">
      <formula>-100</formula>
    </cfRule>
    <cfRule type="cellIs" dxfId="16" priority="29" operator="greaterThan">
      <formula>100</formula>
    </cfRule>
  </conditionalFormatting>
  <conditionalFormatting sqref="Q39">
    <cfRule type="cellIs" dxfId="14" priority="26" operator="lessThan">
      <formula>-100</formula>
    </cfRule>
    <cfRule type="cellIs" dxfId="15" priority="27" operator="greaterThan">
      <formula>100</formula>
    </cfRule>
  </conditionalFormatting>
  <conditionalFormatting sqref="Q43:Q44">
    <cfRule type="cellIs" dxfId="12" priority="22" operator="lessThan">
      <formula>-100</formula>
    </cfRule>
    <cfRule type="cellIs" dxfId="13" priority="23" operator="greaterThan">
      <formula>100</formula>
    </cfRule>
  </conditionalFormatting>
  <conditionalFormatting sqref="Q48:Q49">
    <cfRule type="cellIs" dxfId="10" priority="20" operator="lessThan">
      <formula>-100</formula>
    </cfRule>
    <cfRule type="cellIs" dxfId="11" priority="21" operator="greaterThan">
      <formula>100</formula>
    </cfRule>
  </conditionalFormatting>
  <conditionalFormatting sqref="Q59">
    <cfRule type="cellIs" dxfId="8" priority="18" operator="lessThan">
      <formula>-100</formula>
    </cfRule>
    <cfRule type="cellIs" dxfId="9" priority="19" operator="greaterThan">
      <formula>100</formula>
    </cfRule>
  </conditionalFormatting>
  <conditionalFormatting sqref="Q62">
    <cfRule type="cellIs" dxfId="6" priority="16" operator="lessThan">
      <formula>-100</formula>
    </cfRule>
    <cfRule type="cellIs" dxfId="7" priority="17" operator="greaterThan">
      <formula>100</formula>
    </cfRule>
  </conditionalFormatting>
  <conditionalFormatting sqref="Q66:Q67">
    <cfRule type="cellIs" dxfId="4" priority="14" operator="lessThan">
      <formula>-100</formula>
    </cfRule>
    <cfRule type="cellIs" dxfId="5" priority="15" operator="greaterThan">
      <formula>100</formula>
    </cfRule>
  </conditionalFormatting>
  <conditionalFormatting sqref="Q70">
    <cfRule type="cellIs" dxfId="2" priority="12" operator="lessThan">
      <formula>-100</formula>
    </cfRule>
    <cfRule type="cellIs" dxfId="3" priority="13" operator="greaterThan">
      <formula>100</formula>
    </cfRule>
  </conditionalFormatting>
  <conditionalFormatting sqref="Q71:Q77">
    <cfRule type="cellIs" dxfId="0" priority="10" operator="greaterThan">
      <formula>0</formula>
    </cfRule>
    <cfRule type="cellIs" dxfId="1" priority="11" operator="lessThan">
      <formula>0</formula>
    </cfRule>
  </conditionalFormatting>
  <dataValidations count="2">
    <dataValidation type="list" showInputMessage="1" showErrorMessage="1" sqref="C1" xr:uid="{829D31AC-270B-498F-8100-9702B93DE4AD}">
      <formula1>$EL$2:$EL$388</formula1>
    </dataValidation>
    <dataValidation type="list" showInputMessage="1" showErrorMessage="1" sqref="C2" xr:uid="{DDBEAE43-2900-4BD4-B6F7-A195F8BA9E74}">
      <formula1>$R$5:$R$78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Aakanksha</dc:creator>
  <cp:lastModifiedBy>Talwar, Aakanksha</cp:lastModifiedBy>
  <dcterms:created xsi:type="dcterms:W3CDTF">2026-04-20T07:37:54Z</dcterms:created>
  <dcterms:modified xsi:type="dcterms:W3CDTF">2026-04-20T07:38:30Z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2026-04-20T07:38:17Z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a78a814a-7ed0-4e17-87fb-bced61e441d3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